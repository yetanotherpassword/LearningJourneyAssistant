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d91de53dbd7479c" /></Relationships>
</file>

<file path=xl/workbook.xml><?xml version="1.0" encoding="utf-8"?>
<x:workbook xmlns:x="http://schemas.openxmlformats.org/spreadsheetml/2006/main">
  <x:sheets>
    <x:sheet xmlns:r="http://schemas.openxmlformats.org/officeDocument/2006/relationships" name="Results" sheetId="1" r:id="Rb38112c8f5384786"/>
    <x:sheet xmlns:r="http://schemas.openxmlformats.org/officeDocument/2006/relationships" name="Student Summary" sheetId="2" r:id="Rfa17df751dd442e0"/>
    <x:sheet xmlns:r="http://schemas.openxmlformats.org/officeDocument/2006/relationships" name="Assessment Map" sheetId="3" r:id="R9b8ed1e18d5e483d"/>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0"/>
    <x:numFmt numFmtId="202" formatCode="0%"/>
  </x:numFmts>
  <x:fonts count="3">
    <x:font>
      <x:sz val="11"/>
      <x:name val="Carlito"/>
    </x:font>
    <x:font>
      <x:sz val="10"/>
      <x:name val="Aptos"/>
    </x:font>
    <x:font>
      <x:b/>
      <x:sz val="10"/>
      <x:color rgb="123456"/>
      <x:name val="Aptos"/>
    </x:font>
  </x:fonts>
  <x:fills count="3">
    <x:fill>
      <x:patternFill patternType="none"/>
    </x:fill>
    <x:fill>
      <x:patternFill patternType="gray125"/>
    </x:fill>
    <x:fill>
      <x:patternFill patternType="solid">
        <x:fgColor rgb="D9EAF7"/>
      </x:patternFill>
    </x:fill>
  </x:fills>
  <x:borders count="20">
    <x:border/>
    <x:border/>
    <x:border>
      <x:right style="thin">
        <x:color rgb="E5E7EB"/>
      </x:right>
      <x:bottom style="thin">
        <x:color rgb="E5E7EB"/>
      </x:bottom>
    </x:border>
    <x:border>
      <x:left style="thin">
        <x:color rgb="E5E7EB"/>
      </x:left>
      <x:right style="thin">
        <x:color rgb="E5E7EB"/>
      </x:right>
      <x:bottom style="thin">
        <x:color rgb="E5E7EB"/>
      </x:bottom>
    </x:border>
    <x:border>
      <x:left style="thin">
        <x:color rgb="E5E7EB"/>
      </x:left>
      <x:bottom style="thin">
        <x:color rgb="E5E7EB"/>
      </x:bottom>
    </x:border>
    <x:border>
      <x:right style="thin">
        <x:color rgb="E5E7EB"/>
      </x:right>
      <x:top style="thin">
        <x:color rgb="E5E7EB"/>
      </x:top>
      <x:bottom style="thin">
        <x:color rgb="E5E7EB"/>
      </x:bottom>
    </x:border>
    <x:border>
      <x:left style="thin">
        <x:color rgb="E5E7EB"/>
      </x:left>
      <x:right style="thin">
        <x:color rgb="E5E7EB"/>
      </x:right>
      <x:top style="thin">
        <x:color rgb="E5E7EB"/>
      </x:top>
      <x:bottom style="thin">
        <x:color rgb="E5E7EB"/>
      </x:bottom>
    </x:border>
    <x:border>
      <x:left style="thin">
        <x:color rgb="E5E7EB"/>
      </x:left>
      <x:top style="thin">
        <x:color rgb="E5E7EB"/>
      </x:top>
      <x:bottom style="thin">
        <x:color rgb="E5E7EB"/>
      </x:bottom>
    </x:border>
    <x:border>
      <x:right style="thin">
        <x:color rgb="E5E7EB"/>
      </x:right>
      <x:top style="thin">
        <x:color rgb="E5E7EB"/>
      </x:top>
    </x:border>
    <x:border>
      <x:left style="thin">
        <x:color rgb="E5E7EB"/>
      </x:left>
      <x:right style="thin">
        <x:color rgb="E5E7EB"/>
      </x:right>
      <x:top style="thin">
        <x:color rgb="E5E7EB"/>
      </x:top>
    </x:border>
    <x:border>
      <x:left style="thin">
        <x:color rgb="E5E7EB"/>
      </x:left>
      <x:top style="thin">
        <x:color rgb="E5E7EB"/>
      </x:top>
    </x:border>
    <x:border>
      <x:right style="thin">
        <x:color rgb="E5E7EB"/>
      </x:right>
      <x:bottom style="thin">
        <x:color rgb="E5E7EB"/>
      </x:bottom>
    </x:border>
    <x:border>
      <x:left style="thin">
        <x:color rgb="E5E7EB"/>
      </x:left>
      <x:right style="thin">
        <x:color rgb="E5E7EB"/>
      </x:right>
      <x:bottom style="thin">
        <x:color rgb="E5E7EB"/>
      </x:bottom>
    </x:border>
    <x:border>
      <x:left style="thin">
        <x:color rgb="E5E7EB"/>
      </x:left>
      <x:bottom style="thin">
        <x:color rgb="E5E7EB"/>
      </x:bottom>
    </x:border>
    <x:border>
      <x:right style="thin">
        <x:color rgb="E5E7EB"/>
      </x:right>
      <x:top style="thin">
        <x:color rgb="E5E7EB"/>
      </x:top>
      <x:bottom style="thin">
        <x:color rgb="E5E7EB"/>
      </x:bottom>
    </x:border>
    <x:border>
      <x:left style="thin">
        <x:color rgb="E5E7EB"/>
      </x:left>
      <x:right style="thin">
        <x:color rgb="E5E7EB"/>
      </x:right>
      <x:top style="thin">
        <x:color rgb="E5E7EB"/>
      </x:top>
      <x:bottom style="thin">
        <x:color rgb="E5E7EB"/>
      </x:bottom>
    </x:border>
    <x:border>
      <x:left style="thin">
        <x:color rgb="E5E7EB"/>
      </x:left>
      <x:top style="thin">
        <x:color rgb="E5E7EB"/>
      </x:top>
      <x:bottom style="thin">
        <x:color rgb="E5E7EB"/>
      </x:bottom>
    </x:border>
    <x:border>
      <x:right style="thin">
        <x:color rgb="E5E7EB"/>
      </x:right>
      <x:top style="thin">
        <x:color rgb="E5E7EB"/>
      </x:top>
    </x:border>
    <x:border>
      <x:left style="thin">
        <x:color rgb="E5E7EB"/>
      </x:left>
      <x:right style="thin">
        <x:color rgb="E5E7EB"/>
      </x:right>
      <x:top style="thin">
        <x:color rgb="E5E7EB"/>
      </x:top>
    </x:border>
    <x:border>
      <x:left style="thin">
        <x:color rgb="E5E7EB"/>
      </x:left>
      <x:top style="thin">
        <x:color rgb="E5E7EB"/>
      </x:top>
    </x:border>
  </x:borders>
  <x:cellStyleXfs count="1">
    <x:xf numFmtId="0" fontId="0" fillId="0" borderId="0"/>
  </x:cellStyleXfs>
  <x:cellXfs count="68">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vertical="center" wrapText="1"/>
    </x:xf>
    <x:xf numFmtId="0" fontId="1" fillId="2" borderId="1"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wrapText="1"/>
    </x:xf>
    <x:xf numFmtId="0" fontId="2" fillId="2" borderId="1" xfId="0" applyNumberFormat="1" applyFont="1" applyFill="1" applyBorder="1" applyAlignment="1">
      <x:alignment vertical="center" wrapText="1"/>
    </x:xf>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200" fontId="2" fillId="2" borderId="0" xfId="0" applyNumberFormat="1" applyFont="1" applyFill="1" applyBorder="1" applyAlignment="1">
      <x:alignment vertical="center" wrapText="1"/>
    </x:xf>
    <x:xf numFmtId="200" fontId="2" fillId="2" borderId="1" xfId="0" applyNumberFormat="1" applyFont="1" applyFill="1" applyBorder="1" applyAlignment="1">
      <x:alignment vertical="center" wrapText="1"/>
    </x:xf>
    <x:xf numFmtId="201" fontId="2" fillId="2" borderId="0" xfId="0" applyNumberFormat="1" applyFont="1" applyFill="1" applyBorder="1" applyAlignment="1">
      <x:alignment vertical="center" wrapText="1"/>
    </x:xf>
    <x:xf numFmtId="201" fontId="2" fillId="2" borderId="1" xfId="0" applyNumberFormat="1" applyFont="1" applyFill="1" applyBorder="1" applyAlignment="1">
      <x:alignment vertical="center" wrapText="1"/>
    </x:xf>
    <x:xf numFmtId="0" fontId="1" fillId="0" borderId="2" xfId="0" applyNumberFormat="1" applyFont="1" applyFill="1" applyBorder="1"/>
    <x:xf numFmtId="0" fontId="1" fillId="0" borderId="3" xfId="0" applyNumberFormat="1" applyFont="1" applyFill="1" applyBorder="1"/>
    <x:xf numFmtId="0" fontId="1" fillId="0" borderId="3" xfId="0" applyNumberFormat="1" applyFont="1" applyFill="1" applyBorder="1" applyAlignment="1">
      <x:alignment wrapText="1"/>
    </x:xf>
    <x:xf numFmtId="0" fontId="1" fillId="0" borderId="4" xfId="0" applyNumberFormat="1" applyFont="1" applyFill="1" applyBorder="1"/>
    <x:xf numFmtId="0" fontId="1" fillId="0" borderId="5" xfId="0" applyNumberFormat="1" applyFont="1" applyFill="1" applyBorder="1"/>
    <x:xf numFmtId="0" fontId="1" fillId="0" borderId="6" xfId="0" applyNumberFormat="1" applyFont="1" applyFill="1" applyBorder="1"/>
    <x:xf numFmtId="0" fontId="1" fillId="0" borderId="6" xfId="0" applyNumberFormat="1" applyFont="1" applyFill="1" applyBorder="1" applyAlignment="1">
      <x:alignment wrapText="1"/>
    </x:xf>
    <x:xf numFmtId="0" fontId="1" fillId="0" borderId="7" xfId="0" applyNumberFormat="1" applyFont="1" applyFill="1" applyBorder="1"/>
    <x:xf numFmtId="0" fontId="1" fillId="0" borderId="8" xfId="0" applyNumberFormat="1" applyFont="1" applyFill="1" applyBorder="1"/>
    <x:xf numFmtId="0" fontId="1" fillId="0" borderId="9" xfId="0" applyNumberFormat="1" applyFont="1" applyFill="1" applyBorder="1"/>
    <x:xf numFmtId="0" fontId="1" fillId="0" borderId="9" xfId="0" applyNumberFormat="1" applyFont="1" applyFill="1" applyBorder="1" applyAlignment="1">
      <x:alignment wrapText="1"/>
    </x:xf>
    <x:xf numFmtId="0" fontId="1" fillId="0" borderId="10" xfId="0" applyNumberFormat="1" applyFont="1" applyFill="1" applyBorder="1"/>
    <x:xf numFmtId="0" fontId="1" fillId="0" borderId="2" xfId="0" applyNumberFormat="1" applyFont="1" applyFill="1" applyBorder="1" applyAlignment="1">
      <x:alignment vertical="top"/>
    </x:xf>
    <x:xf numFmtId="0" fontId="1" fillId="0" borderId="3" xfId="0" applyNumberFormat="1" applyFont="1" applyFill="1" applyBorder="1" applyAlignment="1">
      <x:alignment vertical="top"/>
    </x:xf>
    <x:xf numFmtId="0" fontId="1" fillId="0" borderId="3" xfId="0" applyNumberFormat="1" applyFont="1" applyFill="1" applyBorder="1" applyAlignment="1">
      <x:alignment vertical="top" wrapText="1"/>
    </x:xf>
    <x:xf numFmtId="0" fontId="1" fillId="0" borderId="4" xfId="0" applyNumberFormat="1" applyFont="1" applyFill="1" applyBorder="1" applyAlignment="1">
      <x:alignment vertical="top"/>
    </x:xf>
    <x:xf numFmtId="0" fontId="1" fillId="0" borderId="5" xfId="0" applyNumberFormat="1" applyFont="1" applyFill="1" applyBorder="1" applyAlignment="1">
      <x:alignment vertical="top"/>
    </x:xf>
    <x:xf numFmtId="0" fontId="1" fillId="0" borderId="6" xfId="0" applyNumberFormat="1" applyFont="1" applyFill="1" applyBorder="1" applyAlignment="1">
      <x:alignment vertical="top"/>
    </x:xf>
    <x:xf numFmtId="0" fontId="1" fillId="0" borderId="6" xfId="0" applyNumberFormat="1" applyFont="1" applyFill="1" applyBorder="1" applyAlignment="1">
      <x:alignment vertical="top" wrapText="1"/>
    </x:xf>
    <x:xf numFmtId="0" fontId="1" fillId="0" borderId="7" xfId="0" applyNumberFormat="1" applyFont="1" applyFill="1" applyBorder="1" applyAlignment="1">
      <x:alignment vertical="top"/>
    </x:xf>
    <x:xf numFmtId="0" fontId="1" fillId="0" borderId="8" xfId="0" applyNumberFormat="1" applyFont="1" applyFill="1" applyBorder="1" applyAlignment="1">
      <x:alignment vertical="top"/>
    </x:xf>
    <x:xf numFmtId="0" fontId="1" fillId="0" borderId="9" xfId="0" applyNumberFormat="1" applyFont="1" applyFill="1" applyBorder="1" applyAlignment="1">
      <x:alignment vertical="top"/>
    </x:xf>
    <x:xf numFmtId="0" fontId="1" fillId="0" borderId="9" xfId="0" applyNumberFormat="1" applyFont="1" applyFill="1" applyBorder="1" applyAlignment="1">
      <x:alignment vertical="top" wrapText="1"/>
    </x:xf>
    <x:xf numFmtId="0" fontId="1" fillId="0" borderId="10" xfId="0" applyNumberFormat="1" applyFont="1" applyFill="1" applyBorder="1" applyAlignment="1">
      <x:alignment vertical="top"/>
    </x:xf>
    <x:xf numFmtId="0" fontId="1" fillId="0" borderId="11" xfId="0" applyNumberFormat="1" applyFont="1" applyFill="1" applyBorder="1"/>
    <x:xf numFmtId="0" fontId="1" fillId="0" borderId="12" xfId="0" applyNumberFormat="1" applyFont="1" applyFill="1" applyBorder="1"/>
    <x:xf numFmtId="0" fontId="1" fillId="0" borderId="12" xfId="0" applyNumberFormat="1" applyFont="1" applyFill="1" applyBorder="1" applyAlignment="1">
      <x:alignment wrapText="1"/>
    </x:xf>
    <x:xf numFmtId="0" fontId="1" fillId="0" borderId="13" xfId="0" applyNumberFormat="1" applyFont="1" applyFill="1" applyBorder="1"/>
    <x:xf numFmtId="0" fontId="1" fillId="0" borderId="14" xfId="0" applyNumberFormat="1" applyFont="1" applyFill="1" applyBorder="1"/>
    <x:xf numFmtId="0" fontId="1" fillId="0" borderId="15" xfId="0" applyNumberFormat="1" applyFont="1" applyFill="1" applyBorder="1"/>
    <x:xf numFmtId="0" fontId="1" fillId="0" borderId="15" xfId="0" applyNumberFormat="1" applyFont="1" applyFill="1" applyBorder="1" applyAlignment="1">
      <x:alignment wrapText="1"/>
    </x:xf>
    <x:xf numFmtId="0" fontId="1" fillId="0" borderId="16" xfId="0" applyNumberFormat="1" applyFont="1" applyFill="1" applyBorder="1"/>
    <x:xf numFmtId="0" fontId="1" fillId="0" borderId="17" xfId="0" applyNumberFormat="1" applyFont="1" applyFill="1" applyBorder="1"/>
    <x:xf numFmtId="0" fontId="1" fillId="0" borderId="18" xfId="0" applyNumberFormat="1" applyFont="1" applyFill="1" applyBorder="1"/>
    <x:xf numFmtId="0" fontId="1" fillId="0" borderId="18" xfId="0" applyNumberFormat="1" applyFont="1" applyFill="1" applyBorder="1" applyAlignment="1">
      <x:alignment wrapText="1"/>
    </x:xf>
    <x:xf numFmtId="0" fontId="1" fillId="0" borderId="19" xfId="0" applyNumberFormat="1" applyFont="1" applyFill="1" applyBorder="1"/>
    <x:xf numFmtId="0" fontId="1" fillId="0" borderId="11" xfId="0" applyNumberFormat="1" applyFont="1" applyFill="1" applyBorder="1" applyAlignment="1">
      <x:alignment vertical="top"/>
    </x:xf>
    <x:xf numFmtId="0" fontId="1" fillId="0" borderId="12" xfId="0" applyNumberFormat="1" applyFont="1" applyFill="1" applyBorder="1" applyAlignment="1">
      <x:alignment vertical="top"/>
    </x:xf>
    <x:xf numFmtId="0" fontId="1" fillId="0" borderId="12" xfId="0" applyNumberFormat="1" applyFont="1" applyFill="1" applyBorder="1" applyAlignment="1">
      <x:alignment vertical="top" wrapText="1"/>
    </x:xf>
    <x:xf numFmtId="0" fontId="1" fillId="0" borderId="13" xfId="0" applyNumberFormat="1" applyFont="1" applyFill="1" applyBorder="1" applyAlignment="1">
      <x:alignment vertical="top"/>
    </x:xf>
    <x:xf numFmtId="0" fontId="1" fillId="0" borderId="14" xfId="0" applyNumberFormat="1" applyFont="1" applyFill="1" applyBorder="1" applyAlignment="1">
      <x:alignment vertical="top"/>
    </x:xf>
    <x:xf numFmtId="0" fontId="1" fillId="0" borderId="15" xfId="0" applyNumberFormat="1" applyFont="1" applyFill="1" applyBorder="1" applyAlignment="1">
      <x:alignment vertical="top"/>
    </x:xf>
    <x:xf numFmtId="0" fontId="1" fillId="0" borderId="15" xfId="0" applyNumberFormat="1" applyFont="1" applyFill="1" applyBorder="1" applyAlignment="1">
      <x:alignment vertical="top" wrapText="1"/>
    </x:xf>
    <x:xf numFmtId="0" fontId="1" fillId="0" borderId="16" xfId="0" applyNumberFormat="1" applyFont="1" applyFill="1" applyBorder="1" applyAlignment="1">
      <x:alignment vertical="top"/>
    </x:xf>
    <x:xf numFmtId="0" fontId="1" fillId="0" borderId="17" xfId="0" applyNumberFormat="1" applyFont="1" applyFill="1" applyBorder="1" applyAlignment="1">
      <x:alignment vertical="top"/>
    </x:xf>
    <x:xf numFmtId="0" fontId="1" fillId="0" borderId="18" xfId="0" applyNumberFormat="1" applyFont="1" applyFill="1" applyBorder="1" applyAlignment="1">
      <x:alignment vertical="top"/>
    </x:xf>
    <x:xf numFmtId="0" fontId="1" fillId="0" borderId="18" xfId="0" applyNumberFormat="1" applyFont="1" applyFill="1" applyBorder="1" applyAlignment="1">
      <x:alignment vertical="top" wrapText="1"/>
    </x:xf>
    <x:xf numFmtId="0" fontId="1" fillId="0" borderId="19" xfId="0" applyNumberFormat="1" applyFont="1" applyFill="1" applyBorder="1" applyAlignment="1">
      <x:alignment vertical="top"/>
    </x:xf>
    <x:xf numFmtId="202" fontId="2" fillId="2" borderId="0" xfId="0" applyNumberFormat="1" applyFont="1" applyFill="1" applyBorder="1" applyAlignment="1">
      <x:alignment vertical="center" wrapText="1"/>
    </x:xf>
    <x:xf numFmtId="202" fontId="2" fillId="2"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f7b30e89bd6443f" /><Relationship Type="http://schemas.openxmlformats.org/officeDocument/2006/relationships/theme" Target="/xl/theme/theme1.xml" Id="R39e8ab7ddec74d9b" /><Relationship Type="http://schemas.openxmlformats.org/officeDocument/2006/relationships/sharedStrings" Target="/xl/sharedStrings.xml" Id="Rb39f599e4b4a472e" /><Relationship Type="http://schemas.openxmlformats.org/officeDocument/2006/relationships/worksheet" Target="/xl/worksheets/sheet1.xml" Id="Rb38112c8f5384786" /><Relationship Type="http://schemas.openxmlformats.org/officeDocument/2006/relationships/worksheet" Target="/xl/worksheets/sheet2.xml" Id="Rfa17df751dd442e0" /><Relationship Type="http://schemas.openxmlformats.org/officeDocument/2006/relationships/worksheet" Target="/xl/worksheets/sheet3.xml" Id="R9b8ed1e18d5e483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2" hidden="0" customWidth="1"/>
    <x:col min="2" max="2" width="48" hidden="0" customWidth="1"/>
    <x:col min="3" max="3" width="13" hidden="0" customWidth="1"/>
    <x:col min="4" max="4" width="76" hidden="0" customWidth="1"/>
    <x:col min="5" max="5" width="68" hidden="0" customWidth="1"/>
    <x:col min="6" max="6" width="14" hidden="0" customWidth="1"/>
    <x:col min="7" max="7" width="14" hidden="0" customWidth="1"/>
  </x:cols>
  <x:sheetData>
    <x:row r="1" ht="30" hidden="0" customHeight="1">
      <x:c r="A1" s="7" t="str">
        <x:v>Student ID</x:v>
      </x:c>
      <x:c r="B1" s="7" t="str">
        <x:v>Assessment Type</x:v>
      </x:c>
      <x:c r="C1" s="16" t="str">
        <x:v>Score (1-100)</x:v>
      </x:c>
      <x:c r="D1" s="7" t="str">
        <x:v>Feedback Comment</x:v>
      </x:c>
      <x:c r="E1" s="7" t="str">
        <x:v>SILO's</x:v>
      </x:c>
      <x:c r="F1" s="14" t="str">
        <x:v>Weight</x:v>
      </x:c>
      <x:c r="G1" s="14" t="str">
        <x:v>Weighted Score</x:v>
      </x:c>
    </x:row>
    <x:row r="2" ht="15" hidden="0" customHeight="1">
      <x:c r="A2" s="30" t="str">
        <x:v>STU0001</x:v>
      </x:c>
      <x:c r="B2" s="31" t="str">
        <x:v>CSE1OOF - Test</x:v>
      </x:c>
      <x:c r="C2" s="31" t="n">
        <x:v>54</x:v>
      </x:c>
      <x:c r="D2" s="32"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2" s="32" t="str">
        <x:v>SILO1: analysis/design/implementation compared with object-oriented modelling using objects that combine data structure and behaviour; SILO2: abstract data types and encapsulation to localise and minimise change</x:v>
      </x:c>
      <x:c r="F2" s="31" t="n">
        <x:v>0.15</x:v>
      </x:c>
      <x:c r="G2" s="33" t="n">
        <x:f>C2*F2</x:f>
        <x:v>8.1</x:v>
      </x:c>
    </x:row>
    <x:row r="3" ht="15" hidden="0" customHeight="1">
      <x:c r="A3" s="34" t="str">
        <x:v>STU0001</x:v>
      </x:c>
      <x:c r="B3" s="35" t="str">
        <x:v>CSE1OOF - Practical demonstration</x:v>
      </x:c>
      <x:c r="C3" s="35" t="n">
        <x:v>49</x:v>
      </x:c>
      <x:c r="D3" s="36" t="str">
        <x:v>This limited result shows gaps that require targeted revision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student should revisit the core concepts, seek feedback early and practise applying the techniques in smaller, well-tested examples before attempting the full assessment task.</x:v>
      </x:c>
      <x:c r="E3" s="36" t="str">
        <x:v>SILO2: abstract data types and encapsulation to localise and minimise change; SILO3: code sharing and reuse through object-oriented techniques to reduce development time; SILO4: object-oriented design and implementation of computer programs for real-life problems</x:v>
      </x:c>
      <x:c r="F3" s="35" t="n">
        <x:v>0.2</x:v>
      </x:c>
      <x:c r="G3" s="37" t="n">
        <x:f>C3*F3</x:f>
        <x:v>9.8</x:v>
      </x:c>
    </x:row>
    <x:row r="4" ht="15" hidden="0" customHeight="1">
      <x:c r="A4" s="34" t="str">
        <x:v>STU0001</x:v>
      </x:c>
      <x:c r="B4" s="35" t="str">
        <x:v>CSE1OOF - Assignment</x:v>
      </x:c>
      <x:c r="C4" s="35" t="n">
        <x:v>51</x:v>
      </x:c>
      <x:c r="D4"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4" s="36" t="str">
        <x:v>SILO2: abstract data types and encapsulation to localise and minimise change; SILO3: code sharing and reuse through object-oriented techniques to reduce development time; SILO4: object-oriented design and implementation of computer programs for real-life problems</x:v>
      </x:c>
      <x:c r="F4" s="35" t="n">
        <x:v>0.25</x:v>
      </x:c>
      <x:c r="G4" s="37" t="n">
        <x:f>C4*F4</x:f>
        <x:v>12.75</x:v>
      </x:c>
    </x:row>
    <x:row r="5" ht="15" hidden="0" customHeight="1">
      <x:c r="A5" s="34" t="str">
        <x:v>STU0001</x:v>
      </x:c>
      <x:c r="B5" s="35" t="str">
        <x:v>CSE1OOF - Central examination</x:v>
      </x:c>
      <x:c r="C5" s="35" t="n">
        <x:v>50</x:v>
      </x:c>
      <x:c r="D5" s="36" t="str">
        <x:v>This developing result meets the core requirements but needs greater consistency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Future work should focus on consolidating the underlying concepts, applying them more consistently and explaining design or implementation decisions with stronger evidence.</x:v>
      </x:c>
      <x:c r="E5"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5" s="35" t="n">
        <x:v>0.4</x:v>
      </x:c>
      <x:c r="G5" s="37" t="n">
        <x:f>C5*F5</x:f>
        <x:v>20</x:v>
      </x:c>
    </x:row>
    <x:row r="6" ht="15" hidden="0" customHeight="1">
      <x:c r="A6" s="34" t="str">
        <x:v>STU0001</x:v>
      </x:c>
      <x:c r="B6" s="35" t="str">
        <x:v>CSE2ALG - Test</x:v>
      </x:c>
      <x:c r="C6" s="35" t="n">
        <x:v>53</x:v>
      </x:c>
      <x:c r="D6"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6" s="36" t="str">
        <x:v>SILO1: overall objectives of Algorithms and Data Structures; SILO2: identifying data structures and searching and sorting algorithms in computing contexts; SILO3: implementing data structures and searching and sorting algorithms in Java</x:v>
      </x:c>
      <x:c r="F6" s="35" t="n">
        <x:v>0.2</x:v>
      </x:c>
      <x:c r="G6" s="37" t="n">
        <x:f>C6*F6</x:f>
        <x:v>10.600000000000001</x:v>
      </x:c>
    </x:row>
    <x:row r="7" ht="15" hidden="0" customHeight="1">
      <x:c r="A7" s="34" t="str">
        <x:v>STU0001</x:v>
      </x:c>
      <x:c r="B7" s="35" t="str">
        <x:v>CSE2ALG - Assignment</x:v>
      </x:c>
      <x:c r="C7" s="35" t="n">
        <x:v>54</x:v>
      </x:c>
      <x:c r="D7"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7"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7" s="35" t="n">
        <x:v>0.3</x:v>
      </x:c>
      <x:c r="G7" s="37" t="n">
        <x:f>C7*F7</x:f>
        <x:v>16.2</x:v>
      </x:c>
    </x:row>
    <x:row r="8" ht="15" hidden="0" customHeight="1">
      <x:c r="A8" s="34" t="str">
        <x:v>STU0001</x:v>
      </x:c>
      <x:c r="B8" s="35" t="str">
        <x:v>CSE2ALG - Central examination</x:v>
      </x:c>
      <x:c r="C8" s="35" t="n">
        <x:v>48</x:v>
      </x:c>
      <x:c r="D8" s="36" t="str">
        <x:v>This limited result shows gaps that require targeted revision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The student should revisit the core concepts, seek feedback early and practise applying the techniques in smaller, well-tested examples before attempting the full assessment task.</x:v>
      </x:c>
      <x:c r="E8"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8" s="35" t="n">
        <x:v>0.5</x:v>
      </x:c>
      <x:c r="G8" s="37" t="n">
        <x:f>C8*F8</x:f>
        <x:v>24</x:v>
      </x:c>
    </x:row>
    <x:row r="9" ht="15" hidden="0" customHeight="1">
      <x:c r="A9" s="34" t="str">
        <x:v>STU0001</x:v>
      </x:c>
      <x:c r="B9" s="35" t="str">
        <x:v>CSE3CAP - Oral presentation: Project Milestone Presentation</x:v>
      </x:c>
      <x:c r="C9" s="35" t="n">
        <x:v>50</x:v>
      </x:c>
      <x:c r="D9"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9" s="36" t="str">
        <x:v>SILO3: reporting project outcomes to technical and non-technical audiences and reflecting on feedback</x:v>
      </x:c>
      <x:c r="F9" s="35" t="n">
        <x:v>0.1</x:v>
      </x:c>
      <x:c r="G9" s="37" t="n">
        <x:f>C9*F9</x:f>
        <x:v>5</x:v>
      </x:c>
    </x:row>
    <x:row r="10" ht="15" hidden="0" customHeight="1">
      <x:c r="A10" s="34" t="str">
        <x:v>STU0001</x:v>
      </x:c>
      <x:c r="B10" s="35" t="str">
        <x:v>CSE3CAP - Oral presentation: Final Project Presentation</x:v>
      </x:c>
      <x:c r="C10" s="35" t="n">
        <x:v>49</x:v>
      </x:c>
      <x:c r="D10" s="36" t="str">
        <x:v>This limited result shows gaps that require targeted revision of the relevant learning themes, particularly reporting project outcomes to technical and non-technical audiences and reflecting on feedback. The student should revisit the core concepts, seek feedback early and practise applying the techniques in smaller, well-tested examples before attempting the full assessment task.</x:v>
      </x:c>
      <x:c r="E10" s="36" t="str">
        <x:v>SILO3: reporting project outcomes to technical and non-technical audiences and reflecting on feedback</x:v>
      </x:c>
      <x:c r="F10" s="35" t="n">
        <x:v>0.2</x:v>
      </x:c>
      <x:c r="G10" s="37" t="n">
        <x:f>C10*F10</x:f>
        <x:v>9.8</x:v>
      </x:c>
    </x:row>
    <x:row r="11" ht="15" hidden="0" customHeight="1">
      <x:c r="A11" s="34" t="str">
        <x:v>STU0001</x:v>
      </x:c>
      <x:c r="B11" s="35" t="str">
        <x:v>CSE3CAP - Assignment: Final written Project Report</x:v>
      </x:c>
      <x:c r="C11" s="35" t="n">
        <x:v>50</x:v>
      </x:c>
      <x:c r="D11"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11" s="36" t="str">
        <x:v>SILO2: industry standard technical solutions in software or cybersecurity practice; SILO4: professional system documentation and advanced technical reporting to industry standards</x:v>
      </x:c>
      <x:c r="F11" s="35" t="n">
        <x:v>0.35</x:v>
      </x:c>
      <x:c r="G11" s="37" t="n">
        <x:f>C11*F11</x:f>
        <x:v>17.5</x:v>
      </x:c>
    </x:row>
    <x:row r="12" ht="15" hidden="0" customHeight="1">
      <x:c r="A12" s="34" t="str">
        <x:v>STU0001</x:v>
      </x:c>
      <x:c r="B12" s="35" t="str">
        <x:v>CSE3CAP - Assignment: Sprint Project management reports</x:v>
      </x:c>
      <x:c r="C12" s="35" t="n">
        <x:v>46</x:v>
      </x:c>
      <x:c r="D12" s="36" t="str">
        <x:v>This limited result shows gaps that require targeted revision of the relevant learning themes, particularly advanced project management during substantive development implementation and industry standard technical solutions in software or cybersecurity practice. The student should revisit the core concepts, seek feedback early and practise applying the techniques in smaller, well-tested examples before attempting the full assessment task.</x:v>
      </x:c>
      <x:c r="E12" s="36" t="str">
        <x:v>SILO1: advanced project management during substantive development implementation; SILO2: industry standard technical solutions in software or cybersecurity practice</x:v>
      </x:c>
      <x:c r="F12" s="35" t="n">
        <x:v>0.35</x:v>
      </x:c>
      <x:c r="G12" s="37" t="n">
        <x:f>C12*F12</x:f>
        <x:v>16.099999999999998</x:v>
      </x:c>
    </x:row>
    <x:row r="13" ht="15" hidden="0" customHeight="1">
      <x:c r="A13" s="34" t="str">
        <x:v>STU0002</x:v>
      </x:c>
      <x:c r="B13" s="35" t="str">
        <x:v>CSE1OOF - Test</x:v>
      </x:c>
      <x:c r="C13" s="35" t="n">
        <x:v>69</x:v>
      </x:c>
      <x:c r="D13"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13" s="36" t="str">
        <x:v>SILO1: analysis/design/implementation compared with object-oriented modelling using objects that combine data structure and behaviour; SILO2: abstract data types and encapsulation to localise and minimise change</x:v>
      </x:c>
      <x:c r="F13" s="35" t="n">
        <x:v>0.15</x:v>
      </x:c>
      <x:c r="G13" s="37" t="n">
        <x:f>C13*F13</x:f>
        <x:v>10.35</x:v>
      </x:c>
    </x:row>
    <x:row r="14" ht="15" hidden="0" customHeight="1">
      <x:c r="A14" s="34" t="str">
        <x:v>STU0002</x:v>
      </x:c>
      <x:c r="B14" s="35" t="str">
        <x:v>CSE1OOF - Practical demonstration</x:v>
      </x:c>
      <x:c r="C14" s="35" t="n">
        <x:v>71</x:v>
      </x:c>
      <x:c r="D14"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4" s="36" t="str">
        <x:v>SILO2: abstract data types and encapsulation to localise and minimise change; SILO3: code sharing and reuse through object-oriented techniques to reduce development time; SILO4: object-oriented design and implementation of computer programs for real-life problems</x:v>
      </x:c>
      <x:c r="F14" s="35" t="n">
        <x:v>0.2</x:v>
      </x:c>
      <x:c r="G14" s="37" t="n">
        <x:f>C14*F14</x:f>
        <x:v>14.200000000000001</x:v>
      </x:c>
    </x:row>
    <x:row r="15" ht="15" hidden="0" customHeight="1">
      <x:c r="A15" s="34" t="str">
        <x:v>STU0002</x:v>
      </x:c>
      <x:c r="B15" s="35" t="str">
        <x:v>CSE1OOF - Assignment</x:v>
      </x:c>
      <x:c r="C15" s="35" t="n">
        <x:v>73</x:v>
      </x:c>
      <x:c r="D15"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5" s="36" t="str">
        <x:v>SILO2: abstract data types and encapsulation to localise and minimise change; SILO3: code sharing and reuse through object-oriented techniques to reduce development time; SILO4: object-oriented design and implementation of computer programs for real-life problems</x:v>
      </x:c>
      <x:c r="F15" s="35" t="n">
        <x:v>0.25</x:v>
      </x:c>
      <x:c r="G15" s="37" t="n">
        <x:f>C15*F15</x:f>
        <x:v>18.25</x:v>
      </x:c>
    </x:row>
    <x:row r="16" ht="15" hidden="0" customHeight="1">
      <x:c r="A16" s="34" t="str">
        <x:v>STU0002</x:v>
      </x:c>
      <x:c r="B16" s="35" t="str">
        <x:v>CSE1OOF - Central examination</x:v>
      </x:c>
      <x:c r="C16" s="35" t="n">
        <x:v>71</x:v>
      </x:c>
      <x:c r="D16"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16"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6" s="35" t="n">
        <x:v>0.4</x:v>
      </x:c>
      <x:c r="G16" s="37" t="n">
        <x:f>C16*F16</x:f>
        <x:v>28.400000000000002</x:v>
      </x:c>
    </x:row>
    <x:row r="17" ht="15" hidden="0" customHeight="1">
      <x:c r="A17" s="34" t="str">
        <x:v>STU0002</x:v>
      </x:c>
      <x:c r="B17" s="35" t="str">
        <x:v>CSE2ALG - Test</x:v>
      </x:c>
      <x:c r="C17" s="35" t="n">
        <x:v>72</x:v>
      </x:c>
      <x:c r="D17"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17" s="36" t="str">
        <x:v>SILO1: overall objectives of Algorithms and Data Structures; SILO2: identifying data structures and searching and sorting algorithms in computing contexts; SILO3: implementing data structures and searching and sorting algorithms in Java</x:v>
      </x:c>
      <x:c r="F17" s="35" t="n">
        <x:v>0.2</x:v>
      </x:c>
      <x:c r="G17" s="37" t="n">
        <x:f>C17*F17</x:f>
        <x:v>14.4</x:v>
      </x:c>
    </x:row>
    <x:row r="18" ht="15" hidden="0" customHeight="1">
      <x:c r="A18" s="34" t="str">
        <x:v>STU0002</x:v>
      </x:c>
      <x:c r="B18" s="35" t="str">
        <x:v>CSE2ALG - Assignment</x:v>
      </x:c>
      <x:c r="C18" s="35" t="n">
        <x:v>72</x:v>
      </x:c>
      <x:c r="D18" s="36" t="str">
        <x:v>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x:v>
      </x:c>
      <x:c r="E18"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8" s="35" t="n">
        <x:v>0.3</x:v>
      </x:c>
      <x:c r="G18" s="37" t="n">
        <x:f>C18*F18</x:f>
        <x:v>21.599999999999998</x:v>
      </x:c>
    </x:row>
    <x:row r="19" ht="15" hidden="0" customHeight="1">
      <x:c r="A19" s="34" t="str">
        <x:v>STU0002</x:v>
      </x:c>
      <x:c r="B19" s="35" t="str">
        <x:v>CSE2ALG - Central examination</x:v>
      </x:c>
      <x:c r="C19" s="35" t="n">
        <x:v>70</x:v>
      </x:c>
      <x:c r="D19"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19"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9" s="35" t="n">
        <x:v>0.5</x:v>
      </x:c>
      <x:c r="G19" s="37" t="n">
        <x:f>C19*F19</x:f>
        <x:v>35</x:v>
      </x:c>
    </x:row>
    <x:row r="20" ht="15" hidden="0" customHeight="1">
      <x:c r="A20" s="34" t="str">
        <x:v>STU0002</x:v>
      </x:c>
      <x:c r="B20" s="35" t="str">
        <x:v>CSE3CAP - Oral presentation: Project Milestone Presentation</x:v>
      </x:c>
      <x:c r="C20" s="35" t="n">
        <x:v>69</x:v>
      </x:c>
      <x:c r="D20"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20" s="36" t="str">
        <x:v>SILO3: reporting project outcomes to technical and non-technical audiences and reflecting on feedback</x:v>
      </x:c>
      <x:c r="F20" s="35" t="n">
        <x:v>0.1</x:v>
      </x:c>
      <x:c r="G20" s="37" t="n">
        <x:f>C20*F20</x:f>
        <x:v>6.9</x:v>
      </x:c>
    </x:row>
    <x:row r="21" ht="15" hidden="0" customHeight="1">
      <x:c r="A21" s="34" t="str">
        <x:v>STU0002</x:v>
      </x:c>
      <x:c r="B21" s="35" t="str">
        <x:v>CSE3CAP - Oral presentation: Final Project Presentation</x:v>
      </x:c>
      <x:c r="C21" s="35" t="n">
        <x:v>63</x:v>
      </x:c>
      <x:c r="D21"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21" s="36" t="str">
        <x:v>SILO3: reporting project outcomes to technical and non-technical audiences and reflecting on feedback</x:v>
      </x:c>
      <x:c r="F21" s="35" t="n">
        <x:v>0.2</x:v>
      </x:c>
      <x:c r="G21" s="37" t="n">
        <x:f>C21*F21</x:f>
        <x:v>12.600000000000001</x:v>
      </x:c>
    </x:row>
    <x:row r="22" ht="15" hidden="0" customHeight="1">
      <x:c r="A22" s="34" t="str">
        <x:v>STU0002</x:v>
      </x:c>
      <x:c r="B22" s="35" t="str">
        <x:v>CSE3CAP - Assignment: Final written Project Report</x:v>
      </x:c>
      <x:c r="C22" s="35" t="n">
        <x:v>69</x:v>
      </x:c>
      <x:c r="D22" s="36" t="str">
        <x:v>This sound result shows a competent and generally reliable grasp of the relevant learning themes, particularly industry standard technical solutions in software or cybersecurity practice and professional system documentation and advanced technical reporting to industry standards. To strengthen the result, the student should provide clearer reasoning, improve technical precision and show more complete testing or reflection.</x:v>
      </x:c>
      <x:c r="E22" s="36" t="str">
        <x:v>SILO2: industry standard technical solutions in software or cybersecurity practice; SILO4: professional system documentation and advanced technical reporting to industry standards</x:v>
      </x:c>
      <x:c r="F22" s="35" t="n">
        <x:v>0.35</x:v>
      </x:c>
      <x:c r="G22" s="37" t="n">
        <x:f>C22*F22</x:f>
        <x:v>24.15</x:v>
      </x:c>
    </x:row>
    <x:row r="23" ht="15" hidden="0" customHeight="1">
      <x:c r="A23" s="34" t="str">
        <x:v>STU0002</x:v>
      </x:c>
      <x:c r="B23" s="35" t="str">
        <x:v>CSE3CAP - Assignment: Sprint Project management reports</x:v>
      </x:c>
      <x:c r="C23" s="35" t="n">
        <x:v>63</x:v>
      </x:c>
      <x:c r="D23"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23" s="36" t="str">
        <x:v>SILO1: advanced project management during substantive development implementation; SILO2: industry standard technical solutions in software or cybersecurity practice</x:v>
      </x:c>
      <x:c r="F23" s="35" t="n">
        <x:v>0.35</x:v>
      </x:c>
      <x:c r="G23" s="37" t="n">
        <x:f>C23*F23</x:f>
        <x:v>22.049999999999997</x:v>
      </x:c>
    </x:row>
    <x:row r="24" ht="15" hidden="0" customHeight="1">
      <x:c r="A24" s="34" t="str">
        <x:v>STU0003</x:v>
      </x:c>
      <x:c r="B24" s="35" t="str">
        <x:v>CSE1OOF - Test</x:v>
      </x:c>
      <x:c r="C24" s="35" t="n">
        <x:v>60</x:v>
      </x:c>
      <x:c r="D24"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24" s="36" t="str">
        <x:v>SILO1: analysis/design/implementation compared with object-oriented modelling using objects that combine data structure and behaviour; SILO2: abstract data types and encapsulation to localise and minimise change</x:v>
      </x:c>
      <x:c r="F24" s="35" t="n">
        <x:v>0.15</x:v>
      </x:c>
      <x:c r="G24" s="37" t="n">
        <x:f>C24*F24</x:f>
        <x:v>9</x:v>
      </x:c>
    </x:row>
    <x:row r="25" ht="15" hidden="0" customHeight="1">
      <x:c r="A25" s="34" t="str">
        <x:v>STU0003</x:v>
      </x:c>
      <x:c r="B25" s="35" t="str">
        <x:v>CSE1OOF - Practical demonstration</x:v>
      </x:c>
      <x:c r="C25" s="35" t="n">
        <x:v>63</x:v>
      </x:c>
      <x:c r="D25"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25" s="36" t="str">
        <x:v>SILO2: abstract data types and encapsulation to localise and minimise change; SILO3: code sharing and reuse through object-oriented techniques to reduce development time; SILO4: object-oriented design and implementation of computer programs for real-life problems</x:v>
      </x:c>
      <x:c r="F25" s="35" t="n">
        <x:v>0.2</x:v>
      </x:c>
      <x:c r="G25" s="37" t="n">
        <x:f>C25*F25</x:f>
        <x:v>12.600000000000001</x:v>
      </x:c>
    </x:row>
    <x:row r="26" ht="15" hidden="0" customHeight="1">
      <x:c r="A26" s="34" t="str">
        <x:v>STU0003</x:v>
      </x:c>
      <x:c r="B26" s="35" t="str">
        <x:v>CSE1OOF - Assignment</x:v>
      </x:c>
      <x:c r="C26" s="35" t="n">
        <x:v>65</x:v>
      </x:c>
      <x:c r="D26"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26" s="36" t="str">
        <x:v>SILO2: abstract data types and encapsulation to localise and minimise change; SILO3: code sharing and reuse through object-oriented techniques to reduce development time; SILO4: object-oriented design and implementation of computer programs for real-life problems</x:v>
      </x:c>
      <x:c r="F26" s="35" t="n">
        <x:v>0.25</x:v>
      </x:c>
      <x:c r="G26" s="37" t="n">
        <x:f>C26*F26</x:f>
        <x:v>16.25</x:v>
      </x:c>
    </x:row>
    <x:row r="27" ht="15" hidden="0" customHeight="1">
      <x:c r="A27" s="34" t="str">
        <x:v>STU0003</x:v>
      </x:c>
      <x:c r="B27" s="35" t="str">
        <x:v>CSE1OOF - Central examination</x:v>
      </x:c>
      <x:c r="C27" s="35" t="n">
        <x:v>62</x:v>
      </x:c>
      <x:c r="D27" s="36" t="str">
        <x:v>This developing result meets the core requirements but needs greater consistency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Future work should focus on consolidating the underlying concepts, applying them more consistently and explaining design or implementation decisions with stronger evidence.</x:v>
      </x:c>
      <x:c r="E27"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27" s="35" t="n">
        <x:v>0.4</x:v>
      </x:c>
      <x:c r="G27" s="37" t="n">
        <x:f>C27*F27</x:f>
        <x:v>24.8</x:v>
      </x:c>
    </x:row>
    <x:row r="28" ht="15" hidden="0" customHeight="1">
      <x:c r="A28" s="34" t="str">
        <x:v>STU0003</x:v>
      </x:c>
      <x:c r="B28" s="35" t="str">
        <x:v>CSE2ALG - Test</x:v>
      </x:c>
      <x:c r="C28" s="35" t="n">
        <x:v>66</x:v>
      </x:c>
      <x:c r="D28"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28" s="36" t="str">
        <x:v>SILO1: overall objectives of Algorithms and Data Structures; SILO2: identifying data structures and searching and sorting algorithms in computing contexts; SILO3: implementing data structures and searching and sorting algorithms in Java</x:v>
      </x:c>
      <x:c r="F28" s="35" t="n">
        <x:v>0.2</x:v>
      </x:c>
      <x:c r="G28" s="37" t="n">
        <x:f>C28*F28</x:f>
        <x:v>13.200000000000001</x:v>
      </x:c>
    </x:row>
    <x:row r="29" ht="15" hidden="0" customHeight="1">
      <x:c r="A29" s="34" t="str">
        <x:v>STU0003</x:v>
      </x:c>
      <x:c r="B29" s="35" t="str">
        <x:v>CSE2ALG - Assignment</x:v>
      </x:c>
      <x:c r="C29" s="35" t="n">
        <x:v>63</x:v>
      </x:c>
      <x:c r="D29"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29"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29" s="35" t="n">
        <x:v>0.3</x:v>
      </x:c>
      <x:c r="G29" s="37" t="n">
        <x:f>C29*F29</x:f>
        <x:v>18.9</x:v>
      </x:c>
    </x:row>
    <x:row r="30" ht="15" hidden="0" customHeight="1">
      <x:c r="A30" s="34" t="str">
        <x:v>STU0003</x:v>
      </x:c>
      <x:c r="B30" s="35" t="str">
        <x:v>CSE2ALG - Central examination</x:v>
      </x:c>
      <x:c r="C30" s="35" t="n">
        <x:v>64</x:v>
      </x:c>
      <x:c r="D30" s="36" t="str">
        <x:v>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x:v>
      </x:c>
      <x:c r="E30"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30" s="35" t="n">
        <x:v>0.5</x:v>
      </x:c>
      <x:c r="G30" s="37" t="n">
        <x:f>C30*F30</x:f>
        <x:v>32</x:v>
      </x:c>
    </x:row>
    <x:row r="31" ht="15" hidden="0" customHeight="1">
      <x:c r="A31" s="34" t="str">
        <x:v>STU0003</x:v>
      </x:c>
      <x:c r="B31" s="35" t="str">
        <x:v>CSE3CAP - Oral presentation: Project Milestone Presentation</x:v>
      </x:c>
      <x:c r="C31" s="35" t="n">
        <x:v>65</x:v>
      </x:c>
      <x:c r="D31"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31" s="36" t="str">
        <x:v>SILO3: reporting project outcomes to technical and non-technical audiences and reflecting on feedback</x:v>
      </x:c>
      <x:c r="F31" s="35" t="n">
        <x:v>0.1</x:v>
      </x:c>
      <x:c r="G31" s="37" t="n">
        <x:f>C31*F31</x:f>
        <x:v>6.5</x:v>
      </x:c>
    </x:row>
    <x:row r="32" ht="15" hidden="0" customHeight="1">
      <x:c r="A32" s="34" t="str">
        <x:v>STU0003</x:v>
      </x:c>
      <x:c r="B32" s="35" t="str">
        <x:v>CSE3CAP - Oral presentation: Final Project Presentation</x:v>
      </x:c>
      <x:c r="C32" s="35" t="n">
        <x:v>67</x:v>
      </x:c>
      <x:c r="D32"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32" s="36" t="str">
        <x:v>SILO3: reporting project outcomes to technical and non-technical audiences and reflecting on feedback</x:v>
      </x:c>
      <x:c r="F32" s="35" t="n">
        <x:v>0.2</x:v>
      </x:c>
      <x:c r="G32" s="37" t="n">
        <x:f>C32*F32</x:f>
        <x:v>13.4</x:v>
      </x:c>
    </x:row>
    <x:row r="33" ht="15" hidden="0" customHeight="1">
      <x:c r="A33" s="34" t="str">
        <x:v>STU0003</x:v>
      </x:c>
      <x:c r="B33" s="35" t="str">
        <x:v>CSE3CAP - Assignment: Final written Project Report</x:v>
      </x:c>
      <x:c r="C33" s="35" t="n">
        <x:v>64</x:v>
      </x:c>
      <x:c r="D33"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33" s="36" t="str">
        <x:v>SILO2: industry standard technical solutions in software or cybersecurity practice; SILO4: professional system documentation and advanced technical reporting to industry standards</x:v>
      </x:c>
      <x:c r="F33" s="35" t="n">
        <x:v>0.35</x:v>
      </x:c>
      <x:c r="G33" s="37" t="n">
        <x:f>C33*F33</x:f>
        <x:v>22.4</x:v>
      </x:c>
    </x:row>
    <x:row r="34" ht="15" hidden="0" customHeight="1">
      <x:c r="A34" s="34" t="str">
        <x:v>STU0003</x:v>
      </x:c>
      <x:c r="B34" s="35" t="str">
        <x:v>CSE3CAP - Assignment: Sprint Project management reports</x:v>
      </x:c>
      <x:c r="C34" s="35" t="n">
        <x:v>66</x:v>
      </x:c>
      <x:c r="D34" s="36" t="str">
        <x:v>This sound result shows a competent and generally reliable grasp of the relevant learning themes, particularly advanced project management during substantive development implementation and industry standard technical solutions in software or cybersecurity practice. To strengthen the result, the student should provide clearer reasoning, improve technical precision and show more complete testing or reflection.</x:v>
      </x:c>
      <x:c r="E34" s="36" t="str">
        <x:v>SILO1: advanced project management during substantive development implementation; SILO2: industry standard technical solutions in software or cybersecurity practice</x:v>
      </x:c>
      <x:c r="F34" s="35" t="n">
        <x:v>0.35</x:v>
      </x:c>
      <x:c r="G34" s="37" t="n">
        <x:f>C34*F34</x:f>
        <x:v>23.099999999999998</x:v>
      </x:c>
    </x:row>
    <x:row r="35" ht="15" hidden="0" customHeight="1">
      <x:c r="A35" s="34" t="str">
        <x:v>STU0004</x:v>
      </x:c>
      <x:c r="B35" s="35" t="str">
        <x:v>CSE1OOF - Test</x:v>
      </x:c>
      <x:c r="C35" s="35" t="n">
        <x:v>50</x:v>
      </x:c>
      <x:c r="D35"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35" s="36" t="str">
        <x:v>SILO1: analysis/design/implementation compared with object-oriented modelling using objects that combine data structure and behaviour; SILO2: abstract data types and encapsulation to localise and minimise change</x:v>
      </x:c>
      <x:c r="F35" s="35" t="n">
        <x:v>0.15</x:v>
      </x:c>
      <x:c r="G35" s="37" t="n">
        <x:f>C35*F35</x:f>
        <x:v>7.5</x:v>
      </x:c>
    </x:row>
    <x:row r="36" ht="15" hidden="0" customHeight="1">
      <x:c r="A36" s="34" t="str">
        <x:v>STU0004</x:v>
      </x:c>
      <x:c r="B36" s="35" t="str">
        <x:v>CSE1OOF - Practical demonstration</x:v>
      </x:c>
      <x:c r="C36" s="35" t="n">
        <x:v>51</x:v>
      </x:c>
      <x:c r="D36"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36" s="36" t="str">
        <x:v>SILO2: abstract data types and encapsulation to localise and minimise change; SILO3: code sharing and reuse through object-oriented techniques to reduce development time; SILO4: object-oriented design and implementation of computer programs for real-life problems</x:v>
      </x:c>
      <x:c r="F36" s="35" t="n">
        <x:v>0.2</x:v>
      </x:c>
      <x:c r="G36" s="37" t="n">
        <x:f>C36*F36</x:f>
        <x:v>10.200000000000001</x:v>
      </x:c>
    </x:row>
    <x:row r="37" ht="15" hidden="0" customHeight="1">
      <x:c r="A37" s="34" t="str">
        <x:v>STU0004</x:v>
      </x:c>
      <x:c r="B37" s="35" t="str">
        <x:v>CSE1OOF - Assignment</x:v>
      </x:c>
      <x:c r="C37" s="35" t="n">
        <x:v>50</x:v>
      </x:c>
      <x:c r="D37"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37" s="36" t="str">
        <x:v>SILO2: abstract data types and encapsulation to localise and minimise change; SILO3: code sharing and reuse through object-oriented techniques to reduce development time; SILO4: object-oriented design and implementation of computer programs for real-life problems</x:v>
      </x:c>
      <x:c r="F37" s="35" t="n">
        <x:v>0.25</x:v>
      </x:c>
      <x:c r="G37" s="37" t="n">
        <x:f>C37*F37</x:f>
        <x:v>12.5</x:v>
      </x:c>
    </x:row>
    <x:row r="38" ht="15" hidden="0" customHeight="1">
      <x:c r="A38" s="34" t="str">
        <x:v>STU0004</x:v>
      </x:c>
      <x:c r="B38" s="35" t="str">
        <x:v>CSE1OOF - Central examination</x:v>
      </x:c>
      <x:c r="C38" s="35" t="n">
        <x:v>56</x:v>
      </x:c>
      <x:c r="D38" s="36" t="str">
        <x:v>This developing result meets the core requirements but needs greater consistency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Future work should focus on consolidating the underlying concepts, applying them more consistently and explaining design or implementation decisions with stronger evidence.</x:v>
      </x:c>
      <x:c r="E38"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38" s="35" t="n">
        <x:v>0.4</x:v>
      </x:c>
      <x:c r="G38" s="37" t="n">
        <x:f>C38*F38</x:f>
        <x:v>22.400000000000002</x:v>
      </x:c>
    </x:row>
    <x:row r="39" ht="15" hidden="0" customHeight="1">
      <x:c r="A39" s="34" t="str">
        <x:v>STU0004</x:v>
      </x:c>
      <x:c r="B39" s="35" t="str">
        <x:v>CSE2ALG - Test</x:v>
      </x:c>
      <x:c r="C39" s="35" t="n">
        <x:v>49</x:v>
      </x:c>
      <x:c r="D39" s="36" t="str">
        <x:v>This limited result shows gaps that require targeted revision of the relevant learning themes, particularly overall objectives of Algorithms and Data Structures, identifying data structures and searching and sorting algorithms in computing contexts, and implementing data structures and searching and sorting algorithms in Java. The student should revisit the core concepts, seek feedback early and practise applying the techniques in smaller, well-tested examples before attempting the full assessment task.</x:v>
      </x:c>
      <x:c r="E39" s="36" t="str">
        <x:v>SILO1: overall objectives of Algorithms and Data Structures; SILO2: identifying data structures and searching and sorting algorithms in computing contexts; SILO3: implementing data structures and searching and sorting algorithms in Java</x:v>
      </x:c>
      <x:c r="F39" s="35" t="n">
        <x:v>0.2</x:v>
      </x:c>
      <x:c r="G39" s="37" t="n">
        <x:f>C39*F39</x:f>
        <x:v>9.8</x:v>
      </x:c>
    </x:row>
    <x:row r="40" ht="15" hidden="0" customHeight="1">
      <x:c r="A40" s="34" t="str">
        <x:v>STU0004</x:v>
      </x:c>
      <x:c r="B40" s="35" t="str">
        <x:v>CSE2ALG - Assignment</x:v>
      </x:c>
      <x:c r="C40" s="35" t="n">
        <x:v>49</x:v>
      </x:c>
      <x:c r="D40" s="36" t="str">
        <x:v>This limited result shows gaps that require targeted revision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The student should revisit the core concepts, seek feedback early and practise applying the techniques in smaller, well-tested examples before attempting the full assessment task.</x:v>
      </x:c>
      <x:c r="E40"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40" s="35" t="n">
        <x:v>0.3</x:v>
      </x:c>
      <x:c r="G40" s="37" t="n">
        <x:f>C40*F40</x:f>
        <x:v>14.7</x:v>
      </x:c>
    </x:row>
    <x:row r="41" ht="15" hidden="0" customHeight="1">
      <x:c r="A41" s="34" t="str">
        <x:v>STU0004</x:v>
      </x:c>
      <x:c r="B41" s="35" t="str">
        <x:v>CSE2ALG - Central examination</x:v>
      </x:c>
      <x:c r="C41" s="35" t="n">
        <x:v>47</x:v>
      </x:c>
      <x:c r="D41" s="36" t="str">
        <x:v>This limited result shows gaps that require targeted revision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The student should revisit the core concepts, seek feedback early and practise applying the techniques in smaller, well-tested examples before attempting the full assessment task.</x:v>
      </x:c>
      <x:c r="E41"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41" s="35" t="n">
        <x:v>0.5</x:v>
      </x:c>
      <x:c r="G41" s="37" t="n">
        <x:f>C41*F41</x:f>
        <x:v>23.5</x:v>
      </x:c>
    </x:row>
    <x:row r="42" ht="15" hidden="0" customHeight="1">
      <x:c r="A42" s="34" t="str">
        <x:v>STU0004</x:v>
      </x:c>
      <x:c r="B42" s="35" t="str">
        <x:v>CSE3CAP - Oral presentation: Project Milestone Presentation</x:v>
      </x:c>
      <x:c r="C42" s="35" t="n">
        <x:v>54</x:v>
      </x:c>
      <x:c r="D42"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42" s="36" t="str">
        <x:v>SILO3: reporting project outcomes to technical and non-technical audiences and reflecting on feedback</x:v>
      </x:c>
      <x:c r="F42" s="35" t="n">
        <x:v>0.1</x:v>
      </x:c>
      <x:c r="G42" s="37" t="n">
        <x:f>C42*F42</x:f>
        <x:v>5.4</x:v>
      </x:c>
    </x:row>
    <x:row r="43" ht="15" hidden="0" customHeight="1">
      <x:c r="A43" s="34" t="str">
        <x:v>STU0004</x:v>
      </x:c>
      <x:c r="B43" s="35" t="str">
        <x:v>CSE3CAP - Oral presentation: Final Project Presentation</x:v>
      </x:c>
      <x:c r="C43" s="35" t="n">
        <x:v>50</x:v>
      </x:c>
      <x:c r="D43"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43" s="36" t="str">
        <x:v>SILO3: reporting project outcomes to technical and non-technical audiences and reflecting on feedback</x:v>
      </x:c>
      <x:c r="F43" s="35" t="n">
        <x:v>0.2</x:v>
      </x:c>
      <x:c r="G43" s="37" t="n">
        <x:f>C43*F43</x:f>
        <x:v>10</x:v>
      </x:c>
    </x:row>
    <x:row r="44" ht="15" hidden="0" customHeight="1">
      <x:c r="A44" s="34" t="str">
        <x:v>STU0004</x:v>
      </x:c>
      <x:c r="B44" s="35" t="str">
        <x:v>CSE3CAP - Assignment: Final written Project Report</x:v>
      </x:c>
      <x:c r="C44" s="35" t="n">
        <x:v>56</x:v>
      </x:c>
      <x:c r="D44"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44" s="36" t="str">
        <x:v>SILO2: industry standard technical solutions in software or cybersecurity practice; SILO4: professional system documentation and advanced technical reporting to industry standards</x:v>
      </x:c>
      <x:c r="F44" s="35" t="n">
        <x:v>0.35</x:v>
      </x:c>
      <x:c r="G44" s="37" t="n">
        <x:f>C44*F44</x:f>
        <x:v>19.599999999999998</x:v>
      </x:c>
    </x:row>
    <x:row r="45" ht="15" hidden="0" customHeight="1">
      <x:c r="A45" s="34" t="str">
        <x:v>STU0004</x:v>
      </x:c>
      <x:c r="B45" s="35" t="str">
        <x:v>CSE3CAP - Assignment: Sprint Project management reports</x:v>
      </x:c>
      <x:c r="C45" s="35" t="n">
        <x:v>56</x:v>
      </x:c>
      <x:c r="D45"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45" s="36" t="str">
        <x:v>SILO1: advanced project management during substantive development implementation; SILO2: industry standard technical solutions in software or cybersecurity practice</x:v>
      </x:c>
      <x:c r="F45" s="35" t="n">
        <x:v>0.35</x:v>
      </x:c>
      <x:c r="G45" s="37" t="n">
        <x:f>C45*F45</x:f>
        <x:v>19.599999999999998</x:v>
      </x:c>
    </x:row>
    <x:row r="46" ht="15" hidden="0" customHeight="1">
      <x:c r="A46" s="34" t="str">
        <x:v>STU0005</x:v>
      </x:c>
      <x:c r="B46" s="35" t="str">
        <x:v>CSE1OOF - Test</x:v>
      </x:c>
      <x:c r="C46" s="35" t="n">
        <x:v>75</x:v>
      </x:c>
      <x:c r="D46" s="36" t="str">
        <x:v>This strong result shows well-developed understanding of the relevant learning themes, particularly analysis/design/implementation compared with object-oriented modelling using objects that combine data structure and behaviour and abstract data types and encapsulation to localise and minimise change. Further improvement would come from deeper justification, more consistent evaluation evidence and tighter links between decisions and implementation details.</x:v>
      </x:c>
      <x:c r="E46" s="36" t="str">
        <x:v>SILO1: analysis/design/implementation compared with object-oriented modelling using objects that combine data structure and behaviour; SILO2: abstract data types and encapsulation to localise and minimise change</x:v>
      </x:c>
      <x:c r="F46" s="35" t="n">
        <x:v>0.15</x:v>
      </x:c>
      <x:c r="G46" s="37" t="n">
        <x:f>C46*F46</x:f>
        <x:v>11.25</x:v>
      </x:c>
    </x:row>
    <x:row r="47" ht="15" hidden="0" customHeight="1">
      <x:c r="A47" s="34" t="str">
        <x:v>STU0005</x:v>
      </x:c>
      <x:c r="B47" s="35" t="str">
        <x:v>CSE1OOF - Practical demonstration</x:v>
      </x:c>
      <x:c r="C47" s="35" t="n">
        <x:v>70</x:v>
      </x:c>
      <x:c r="D47"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47" s="36" t="str">
        <x:v>SILO2: abstract data types and encapsulation to localise and minimise change; SILO3: code sharing and reuse through object-oriented techniques to reduce development time; SILO4: object-oriented design and implementation of computer programs for real-life problems</x:v>
      </x:c>
      <x:c r="F47" s="35" t="n">
        <x:v>0.2</x:v>
      </x:c>
      <x:c r="G47" s="37" t="n">
        <x:f>C47*F47</x:f>
        <x:v>14</x:v>
      </x:c>
    </x:row>
    <x:row r="48" ht="15" hidden="0" customHeight="1">
      <x:c r="A48" s="34" t="str">
        <x:v>STU0005</x:v>
      </x:c>
      <x:c r="B48" s="35" t="str">
        <x:v>CSE1OOF - Assignment</x:v>
      </x:c>
      <x:c r="C48" s="35" t="n">
        <x:v>70</x:v>
      </x:c>
      <x:c r="D48"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48" s="36" t="str">
        <x:v>SILO2: abstract data types and encapsulation to localise and minimise change; SILO3: code sharing and reuse through object-oriented techniques to reduce development time; SILO4: object-oriented design and implementation of computer programs for real-life problems</x:v>
      </x:c>
      <x:c r="F48" s="35" t="n">
        <x:v>0.25</x:v>
      </x:c>
      <x:c r="G48" s="37" t="n">
        <x:f>C48*F48</x:f>
        <x:v>17.5</x:v>
      </x:c>
    </x:row>
    <x:row r="49" ht="15" hidden="0" customHeight="1">
      <x:c r="A49" s="34" t="str">
        <x:v>STU0005</x:v>
      </x:c>
      <x:c r="B49" s="35" t="str">
        <x:v>CSE1OOF - Central examination</x:v>
      </x:c>
      <x:c r="C49" s="35" t="n">
        <x:v>76</x:v>
      </x:c>
      <x:c r="D49" s="36" t="str">
        <x:v>This strong result shows well-developed understanding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Further improvement would come from deeper justification, more consistent evaluation evidence and tighter links between decisions and implementation details.</x:v>
      </x:c>
      <x:c r="E49"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49" s="35" t="n">
        <x:v>0.4</x:v>
      </x:c>
      <x:c r="G49" s="37" t="n">
        <x:f>C49*F49</x:f>
        <x:v>30.400000000000002</x:v>
      </x:c>
    </x:row>
    <x:row r="50" ht="15" hidden="0" customHeight="1">
      <x:c r="A50" s="34" t="str">
        <x:v>STU0005</x:v>
      </x:c>
      <x:c r="B50" s="35" t="str">
        <x:v>CSE2ALG - Test</x:v>
      </x:c>
      <x:c r="C50" s="35" t="n">
        <x:v>72</x:v>
      </x:c>
      <x:c r="D50"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50" s="36" t="str">
        <x:v>SILO1: overall objectives of Algorithms and Data Structures; SILO2: identifying data structures and searching and sorting algorithms in computing contexts; SILO3: implementing data structures and searching and sorting algorithms in Java</x:v>
      </x:c>
      <x:c r="F50" s="35" t="n">
        <x:v>0.2</x:v>
      </x:c>
      <x:c r="G50" s="37" t="n">
        <x:f>C50*F50</x:f>
        <x:v>14.4</x:v>
      </x:c>
    </x:row>
    <x:row r="51" ht="15" hidden="0" customHeight="1">
      <x:c r="A51" s="34" t="str">
        <x:v>STU0005</x:v>
      </x:c>
      <x:c r="B51" s="35" t="str">
        <x:v>CSE2ALG - Assignment</x:v>
      </x:c>
      <x:c r="C51" s="35" t="n">
        <x:v>75</x:v>
      </x:c>
      <x:c r="D51" s="36" t="str">
        <x:v>This strong result shows well-developed understanding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Further improvement would come from deeper justification, more consistent evaluation evidence and tighter links between decisions and implementation details.</x:v>
      </x:c>
      <x:c r="E51"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51" s="35" t="n">
        <x:v>0.3</x:v>
      </x:c>
      <x:c r="G51" s="37" t="n">
        <x:f>C51*F51</x:f>
        <x:v>22.5</x:v>
      </x:c>
    </x:row>
    <x:row r="52" ht="15" hidden="0" customHeight="1">
      <x:c r="A52" s="34" t="str">
        <x:v>STU0005</x:v>
      </x:c>
      <x:c r="B52" s="35" t="str">
        <x:v>CSE2ALG - Central examination</x:v>
      </x:c>
      <x:c r="C52" s="35" t="n">
        <x:v>74</x:v>
      </x:c>
      <x:c r="D52"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52"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52" s="35" t="n">
        <x:v>0.5</x:v>
      </x:c>
      <x:c r="G52" s="37" t="n">
        <x:f>C52*F52</x:f>
        <x:v>37</x:v>
      </x:c>
    </x:row>
    <x:row r="53" ht="15" hidden="0" customHeight="1">
      <x:c r="A53" s="34" t="str">
        <x:v>STU0005</x:v>
      </x:c>
      <x:c r="B53" s="35" t="str">
        <x:v>CSE3CAP - Oral presentation: Project Milestone Presentation</x:v>
      </x:c>
      <x:c r="C53" s="35" t="n">
        <x:v>72</x:v>
      </x:c>
      <x:c r="D53"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53" s="36" t="str">
        <x:v>SILO3: reporting project outcomes to technical and non-technical audiences and reflecting on feedback</x:v>
      </x:c>
      <x:c r="F53" s="35" t="n">
        <x:v>0.1</x:v>
      </x:c>
      <x:c r="G53" s="37" t="n">
        <x:f>C53*F53</x:f>
        <x:v>7.2</x:v>
      </x:c>
    </x:row>
    <x:row r="54" ht="15" hidden="0" customHeight="1">
      <x:c r="A54" s="34" t="str">
        <x:v>STU0005</x:v>
      </x:c>
      <x:c r="B54" s="35" t="str">
        <x:v>CSE3CAP - Oral presentation: Final Project Presentation</x:v>
      </x:c>
      <x:c r="C54" s="35" t="n">
        <x:v>72</x:v>
      </x:c>
      <x:c r="D54"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54" s="36" t="str">
        <x:v>SILO3: reporting project outcomes to technical and non-technical audiences and reflecting on feedback</x:v>
      </x:c>
      <x:c r="F54" s="35" t="n">
        <x:v>0.2</x:v>
      </x:c>
      <x:c r="G54" s="37" t="n">
        <x:f>C54*F54</x:f>
        <x:v>14.4</x:v>
      </x:c>
    </x:row>
    <x:row r="55" ht="15" hidden="0" customHeight="1">
      <x:c r="A55" s="34" t="str">
        <x:v>STU0005</x:v>
      </x:c>
      <x:c r="B55" s="35" t="str">
        <x:v>CSE3CAP - Assignment: Final written Project Report</x:v>
      </x:c>
      <x:c r="C55" s="35" t="n">
        <x:v>74</x:v>
      </x:c>
      <x:c r="D55" s="36" t="str">
        <x:v>This sound result shows a competent and generally reliable grasp of the relevant learning themes, particularly industry standard technical solutions in software or cybersecurity practice and professional system documentation and advanced technical reporting to industry standards. To strengthen the result, the student should provide clearer reasoning, improve technical precision and show more complete testing or reflection.</x:v>
      </x:c>
      <x:c r="E55" s="36" t="str">
        <x:v>SILO2: industry standard technical solutions in software or cybersecurity practice; SILO4: professional system documentation and advanced technical reporting to industry standards</x:v>
      </x:c>
      <x:c r="F55" s="35" t="n">
        <x:v>0.35</x:v>
      </x:c>
      <x:c r="G55" s="37" t="n">
        <x:f>C55*F55</x:f>
        <x:v>25.9</x:v>
      </x:c>
    </x:row>
    <x:row r="56" ht="15" hidden="0" customHeight="1">
      <x:c r="A56" s="34" t="str">
        <x:v>STU0005</x:v>
      </x:c>
      <x:c r="B56" s="35" t="str">
        <x:v>CSE3CAP - Assignment: Sprint Project management reports</x:v>
      </x:c>
      <x:c r="C56" s="35" t="n">
        <x:v>75</x:v>
      </x:c>
      <x:c r="D56" s="36" t="str">
        <x:v>This strong result shows well-developed understanding of the relevant learning themes, particularly advanced project management during substantive development implementation and industry standard technical solutions in software or cybersecurity practice. Further improvement would come from deeper justification, more consistent evaluation evidence and tighter links between decisions and implementation details.</x:v>
      </x:c>
      <x:c r="E56" s="36" t="str">
        <x:v>SILO1: advanced project management during substantive development implementation; SILO2: industry standard technical solutions in software or cybersecurity practice</x:v>
      </x:c>
      <x:c r="F56" s="35" t="n">
        <x:v>0.35</x:v>
      </x:c>
      <x:c r="G56" s="37" t="n">
        <x:f>C56*F56</x:f>
        <x:v>26.25</x:v>
      </x:c>
    </x:row>
    <x:row r="57" ht="15" hidden="0" customHeight="1">
      <x:c r="A57" s="34" t="str">
        <x:v>STU0006</x:v>
      </x:c>
      <x:c r="B57" s="35" t="str">
        <x:v>CSE1OOF - Test</x:v>
      </x:c>
      <x:c r="C57" s="35" t="n">
        <x:v>71</x:v>
      </x:c>
      <x:c r="D57"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57" s="36" t="str">
        <x:v>SILO1: analysis/design/implementation compared with object-oriented modelling using objects that combine data structure and behaviour; SILO2: abstract data types and encapsulation to localise and minimise change</x:v>
      </x:c>
      <x:c r="F57" s="35" t="n">
        <x:v>0.15</x:v>
      </x:c>
      <x:c r="G57" s="37" t="n">
        <x:f>C57*F57</x:f>
        <x:v>10.65</x:v>
      </x:c>
    </x:row>
    <x:row r="58" ht="15" hidden="0" customHeight="1">
      <x:c r="A58" s="34" t="str">
        <x:v>STU0006</x:v>
      </x:c>
      <x:c r="B58" s="35" t="str">
        <x:v>CSE1OOF - Practical demonstration</x:v>
      </x:c>
      <x:c r="C58" s="35" t="n">
        <x:v>76</x:v>
      </x:c>
      <x:c r="D58"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58" s="36" t="str">
        <x:v>SILO2: abstract data types and encapsulation to localise and minimise change; SILO3: code sharing and reuse through object-oriented techniques to reduce development time; SILO4: object-oriented design and implementation of computer programs for real-life problems</x:v>
      </x:c>
      <x:c r="F58" s="35" t="n">
        <x:v>0.2</x:v>
      </x:c>
      <x:c r="G58" s="37" t="n">
        <x:f>C58*F58</x:f>
        <x:v>15.200000000000001</x:v>
      </x:c>
    </x:row>
    <x:row r="59" ht="15" hidden="0" customHeight="1">
      <x:c r="A59" s="34" t="str">
        <x:v>STU0006</x:v>
      </x:c>
      <x:c r="B59" s="35" t="str">
        <x:v>CSE1OOF - Assignment</x:v>
      </x:c>
      <x:c r="C59" s="35" t="n">
        <x:v>70</x:v>
      </x:c>
      <x:c r="D59"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59" s="36" t="str">
        <x:v>SILO2: abstract data types and encapsulation to localise and minimise change; SILO3: code sharing and reuse through object-oriented techniques to reduce development time; SILO4: object-oriented design and implementation of computer programs for real-life problems</x:v>
      </x:c>
      <x:c r="F59" s="35" t="n">
        <x:v>0.25</x:v>
      </x:c>
      <x:c r="G59" s="37" t="n">
        <x:f>C59*F59</x:f>
        <x:v>17.5</x:v>
      </x:c>
    </x:row>
    <x:row r="60" ht="15" hidden="0" customHeight="1">
      <x:c r="A60" s="34" t="str">
        <x:v>STU0006</x:v>
      </x:c>
      <x:c r="B60" s="35" t="str">
        <x:v>CSE1OOF - Central examination</x:v>
      </x:c>
      <x:c r="C60" s="35" t="n">
        <x:v>76</x:v>
      </x:c>
      <x:c r="D60" s="36" t="str">
        <x:v>This strong result shows well-developed understanding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Further improvement would come from deeper justification, more consistent evaluation evidence and tighter links between decisions and implementation details.</x:v>
      </x:c>
      <x:c r="E60"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60" s="35" t="n">
        <x:v>0.4</x:v>
      </x:c>
      <x:c r="G60" s="37" t="n">
        <x:f>C60*F60</x:f>
        <x:v>30.400000000000002</x:v>
      </x:c>
    </x:row>
    <x:row r="61" ht="15" hidden="0" customHeight="1">
      <x:c r="A61" s="34" t="str">
        <x:v>STU0006</x:v>
      </x:c>
      <x:c r="B61" s="35" t="str">
        <x:v>CSE2ALG - Test</x:v>
      </x:c>
      <x:c r="C61" s="35" t="n">
        <x:v>71</x:v>
      </x:c>
      <x:c r="D61"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61" s="36" t="str">
        <x:v>SILO1: overall objectives of Algorithms and Data Structures; SILO2: identifying data structures and searching and sorting algorithms in computing contexts; SILO3: implementing data structures and searching and sorting algorithms in Java</x:v>
      </x:c>
      <x:c r="F61" s="35" t="n">
        <x:v>0.2</x:v>
      </x:c>
      <x:c r="G61" s="37" t="n">
        <x:f>C61*F61</x:f>
        <x:v>14.200000000000001</x:v>
      </x:c>
    </x:row>
    <x:row r="62" ht="15" hidden="0" customHeight="1">
      <x:c r="A62" s="34" t="str">
        <x:v>STU0006</x:v>
      </x:c>
      <x:c r="B62" s="35" t="str">
        <x:v>CSE2ALG - Assignment</x:v>
      </x:c>
      <x:c r="C62" s="35" t="n">
        <x:v>75</x:v>
      </x:c>
      <x:c r="D62" s="36" t="str">
        <x:v>This strong result shows well-developed understanding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Further improvement would come from deeper justification, more consistent evaluation evidence and tighter links between decisions and implementation details.</x:v>
      </x:c>
      <x:c r="E62"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62" s="35" t="n">
        <x:v>0.3</x:v>
      </x:c>
      <x:c r="G62" s="37" t="n">
        <x:f>C62*F62</x:f>
        <x:v>22.5</x:v>
      </x:c>
    </x:row>
    <x:row r="63" ht="15" hidden="0" customHeight="1">
      <x:c r="A63" s="34" t="str">
        <x:v>STU0006</x:v>
      </x:c>
      <x:c r="B63" s="35" t="str">
        <x:v>CSE2ALG - Central examination</x:v>
      </x:c>
      <x:c r="C63" s="35" t="n">
        <x:v>73</x:v>
      </x:c>
      <x:c r="D63"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63"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63" s="35" t="n">
        <x:v>0.5</x:v>
      </x:c>
      <x:c r="G63" s="37" t="n">
        <x:f>C63*F63</x:f>
        <x:v>36.5</x:v>
      </x:c>
    </x:row>
    <x:row r="64" ht="15" hidden="0" customHeight="1">
      <x:c r="A64" s="34" t="str">
        <x:v>STU0006</x:v>
      </x:c>
      <x:c r="B64" s="35" t="str">
        <x:v>CSE3CAP - Oral presentation: Project Milestone Presentation</x:v>
      </x:c>
      <x:c r="C64" s="35" t="n">
        <x:v>76</x:v>
      </x:c>
      <x:c r="D64"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64" s="36" t="str">
        <x:v>SILO3: reporting project outcomes to technical and non-technical audiences and reflecting on feedback</x:v>
      </x:c>
      <x:c r="F64" s="35" t="n">
        <x:v>0.1</x:v>
      </x:c>
      <x:c r="G64" s="37" t="n">
        <x:f>C64*F64</x:f>
        <x:v>7.6000000000000005</x:v>
      </x:c>
    </x:row>
    <x:row r="65" ht="15" hidden="0" customHeight="1">
      <x:c r="A65" s="34" t="str">
        <x:v>STU0006</x:v>
      </x:c>
      <x:c r="B65" s="35" t="str">
        <x:v>CSE3CAP - Oral presentation: Final Project Presentation</x:v>
      </x:c>
      <x:c r="C65" s="35" t="n">
        <x:v>72</x:v>
      </x:c>
      <x:c r="D65"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65" s="36" t="str">
        <x:v>SILO3: reporting project outcomes to technical and non-technical audiences and reflecting on feedback</x:v>
      </x:c>
      <x:c r="F65" s="35" t="n">
        <x:v>0.2</x:v>
      </x:c>
      <x:c r="G65" s="37" t="n">
        <x:f>C65*F65</x:f>
        <x:v>14.4</x:v>
      </x:c>
    </x:row>
    <x:row r="66" ht="15" hidden="0" customHeight="1">
      <x:c r="A66" s="34" t="str">
        <x:v>STU0006</x:v>
      </x:c>
      <x:c r="B66" s="35" t="str">
        <x:v>CSE3CAP - Assignment: Final written Project Report</x:v>
      </x:c>
      <x:c r="C66" s="35" t="n">
        <x:v>76</x:v>
      </x:c>
      <x:c r="D66" s="36" t="str">
        <x:v>This strong result shows well-developed understanding of the relevant learning themes, particularly industry standard technical solutions in software or cybersecurity practice and professional system documentation and advanced technical reporting to industry standards. Further improvement would come from deeper justification, more consistent evaluation evidence and tighter links between decisions and implementation details.</x:v>
      </x:c>
      <x:c r="E66" s="36" t="str">
        <x:v>SILO2: industry standard technical solutions in software or cybersecurity practice; SILO4: professional system documentation and advanced technical reporting to industry standards</x:v>
      </x:c>
      <x:c r="F66" s="35" t="n">
        <x:v>0.35</x:v>
      </x:c>
      <x:c r="G66" s="37" t="n">
        <x:f>C66*F66</x:f>
        <x:v>26.599999999999998</x:v>
      </x:c>
    </x:row>
    <x:row r="67" ht="15" hidden="0" customHeight="1">
      <x:c r="A67" s="34" t="str">
        <x:v>STU0006</x:v>
      </x:c>
      <x:c r="B67" s="35" t="str">
        <x:v>CSE3CAP - Assignment: Sprint Project management reports</x:v>
      </x:c>
      <x:c r="C67" s="35" t="n">
        <x:v>75</x:v>
      </x:c>
      <x:c r="D67" s="36" t="str">
        <x:v>This strong result shows well-developed understanding of the relevant learning themes, particularly advanced project management during substantive development implementation and industry standard technical solutions in software or cybersecurity practice. Further improvement would come from deeper justification, more consistent evaluation evidence and tighter links between decisions and implementation details.</x:v>
      </x:c>
      <x:c r="E67" s="36" t="str">
        <x:v>SILO1: advanced project management during substantive development implementation; SILO2: industry standard technical solutions in software or cybersecurity practice</x:v>
      </x:c>
      <x:c r="F67" s="35" t="n">
        <x:v>0.35</x:v>
      </x:c>
      <x:c r="G67" s="37" t="n">
        <x:f>C67*F67</x:f>
        <x:v>26.25</x:v>
      </x:c>
    </x:row>
    <x:row r="68" ht="15" hidden="0" customHeight="1">
      <x:c r="A68" s="34" t="str">
        <x:v>STU0007</x:v>
      </x:c>
      <x:c r="B68" s="35" t="str">
        <x:v>CSE1OOF - Test</x:v>
      </x:c>
      <x:c r="C68" s="35" t="n">
        <x:v>55</x:v>
      </x:c>
      <x:c r="D68"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68" s="36" t="str">
        <x:v>SILO1: analysis/design/implementation compared with object-oriented modelling using objects that combine data structure and behaviour; SILO2: abstract data types and encapsulation to localise and minimise change</x:v>
      </x:c>
      <x:c r="F68" s="35" t="n">
        <x:v>0.15</x:v>
      </x:c>
      <x:c r="G68" s="37" t="n">
        <x:f>C68*F68</x:f>
        <x:v>8.25</x:v>
      </x:c>
    </x:row>
    <x:row r="69" ht="15" hidden="0" customHeight="1">
      <x:c r="A69" s="34" t="str">
        <x:v>STU0007</x:v>
      </x:c>
      <x:c r="B69" s="35" t="str">
        <x:v>CSE1OOF - Practical demonstration</x:v>
      </x:c>
      <x:c r="C69" s="35" t="n">
        <x:v>50</x:v>
      </x:c>
      <x:c r="D69"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69" s="36" t="str">
        <x:v>SILO2: abstract data types and encapsulation to localise and minimise change; SILO3: code sharing and reuse through object-oriented techniques to reduce development time; SILO4: object-oriented design and implementation of computer programs for real-life problems</x:v>
      </x:c>
      <x:c r="F69" s="35" t="n">
        <x:v>0.2</x:v>
      </x:c>
      <x:c r="G69" s="37" t="n">
        <x:f>C69*F69</x:f>
        <x:v>10</x:v>
      </x:c>
    </x:row>
    <x:row r="70" ht="15" hidden="0" customHeight="1">
      <x:c r="A70" s="34" t="str">
        <x:v>STU0007</x:v>
      </x:c>
      <x:c r="B70" s="35" t="str">
        <x:v>CSE1OOF - Assignment</x:v>
      </x:c>
      <x:c r="C70" s="35" t="n">
        <x:v>52</x:v>
      </x:c>
      <x:c r="D70"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70" s="36" t="str">
        <x:v>SILO2: abstract data types and encapsulation to localise and minimise change; SILO3: code sharing and reuse through object-oriented techniques to reduce development time; SILO4: object-oriented design and implementation of computer programs for real-life problems</x:v>
      </x:c>
      <x:c r="F70" s="35" t="n">
        <x:v>0.25</x:v>
      </x:c>
      <x:c r="G70" s="37" t="n">
        <x:f>C70*F70</x:f>
        <x:v>13</x:v>
      </x:c>
    </x:row>
    <x:row r="71" ht="15" hidden="0" customHeight="1">
      <x:c r="A71" s="34" t="str">
        <x:v>STU0007</x:v>
      </x:c>
      <x:c r="B71" s="35" t="str">
        <x:v>CSE1OOF - Central examination</x:v>
      </x:c>
      <x:c r="C71" s="35" t="n">
        <x:v>53</x:v>
      </x:c>
      <x:c r="D71" s="36" t="str">
        <x:v>This developing result meets the core requirements but needs greater consistency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Future work should focus on consolidating the underlying concepts, applying them more consistently and explaining design or implementation decisions with stronger evidence.</x:v>
      </x:c>
      <x:c r="E71"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71" s="35" t="n">
        <x:v>0.4</x:v>
      </x:c>
      <x:c r="G71" s="37" t="n">
        <x:f>C71*F71</x:f>
        <x:v>21.200000000000003</x:v>
      </x:c>
    </x:row>
    <x:row r="72" ht="15" hidden="0" customHeight="1">
      <x:c r="A72" s="34" t="str">
        <x:v>STU0007</x:v>
      </x:c>
      <x:c r="B72" s="35" t="str">
        <x:v>CSE2ALG - Test</x:v>
      </x:c>
      <x:c r="C72" s="35" t="n">
        <x:v>57</x:v>
      </x:c>
      <x:c r="D72"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72" s="36" t="str">
        <x:v>SILO1: overall objectives of Algorithms and Data Structures; SILO2: identifying data structures and searching and sorting algorithms in computing contexts; SILO3: implementing data structures and searching and sorting algorithms in Java</x:v>
      </x:c>
      <x:c r="F72" s="35" t="n">
        <x:v>0.2</x:v>
      </x:c>
      <x:c r="G72" s="37" t="n">
        <x:f>C72*F72</x:f>
        <x:v>11.4</x:v>
      </x:c>
    </x:row>
    <x:row r="73" ht="15" hidden="0" customHeight="1">
      <x:c r="A73" s="34" t="str">
        <x:v>STU0007</x:v>
      </x:c>
      <x:c r="B73" s="35" t="str">
        <x:v>CSE2ALG - Assignment</x:v>
      </x:c>
      <x:c r="C73" s="35" t="n">
        <x:v>54</x:v>
      </x:c>
      <x:c r="D73"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73"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73" s="35" t="n">
        <x:v>0.3</x:v>
      </x:c>
      <x:c r="G73" s="37" t="n">
        <x:f>C73*F73</x:f>
        <x:v>16.2</x:v>
      </x:c>
    </x:row>
    <x:row r="74" ht="15" hidden="0" customHeight="1">
      <x:c r="A74" s="34" t="str">
        <x:v>STU0007</x:v>
      </x:c>
      <x:c r="B74" s="35" t="str">
        <x:v>CSE2ALG - Central examination</x:v>
      </x:c>
      <x:c r="C74" s="35" t="n">
        <x:v>57</x:v>
      </x:c>
      <x:c r="D74" s="36" t="str">
        <x:v>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x:v>
      </x:c>
      <x:c r="E74"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74" s="35" t="n">
        <x:v>0.5</x:v>
      </x:c>
      <x:c r="G74" s="37" t="n">
        <x:f>C74*F74</x:f>
        <x:v>28.5</x:v>
      </x:c>
    </x:row>
    <x:row r="75" ht="15" hidden="0" customHeight="1">
      <x:c r="A75" s="34" t="str">
        <x:v>STU0007</x:v>
      </x:c>
      <x:c r="B75" s="35" t="str">
        <x:v>CSE3CAP - Oral presentation: Project Milestone Presentation</x:v>
      </x:c>
      <x:c r="C75" s="35" t="n">
        <x:v>49</x:v>
      </x:c>
      <x:c r="D75" s="36" t="str">
        <x:v>This limited result shows gaps that require targeted revision of the relevant learning themes, particularly reporting project outcomes to technical and non-technical audiences and reflecting on feedback. The student should revisit the core concepts, seek feedback early and practise applying the techniques in smaller, well-tested examples before attempting the full assessment task.</x:v>
      </x:c>
      <x:c r="E75" s="36" t="str">
        <x:v>SILO3: reporting project outcomes to technical and non-technical audiences and reflecting on feedback</x:v>
      </x:c>
      <x:c r="F75" s="35" t="n">
        <x:v>0.1</x:v>
      </x:c>
      <x:c r="G75" s="37" t="n">
        <x:f>C75*F75</x:f>
        <x:v>4.9</x:v>
      </x:c>
    </x:row>
    <x:row r="76" ht="15" hidden="0" customHeight="1">
      <x:c r="A76" s="34" t="str">
        <x:v>STU0007</x:v>
      </x:c>
      <x:c r="B76" s="35" t="str">
        <x:v>CSE3CAP - Oral presentation: Final Project Presentation</x:v>
      </x:c>
      <x:c r="C76" s="35" t="n">
        <x:v>52</x:v>
      </x:c>
      <x:c r="D76"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76" s="36" t="str">
        <x:v>SILO3: reporting project outcomes to technical and non-technical audiences and reflecting on feedback</x:v>
      </x:c>
      <x:c r="F76" s="35" t="n">
        <x:v>0.2</x:v>
      </x:c>
      <x:c r="G76" s="37" t="n">
        <x:f>C76*F76</x:f>
        <x:v>10.4</x:v>
      </x:c>
    </x:row>
    <x:row r="77" ht="15" hidden="0" customHeight="1">
      <x:c r="A77" s="34" t="str">
        <x:v>STU0007</x:v>
      </x:c>
      <x:c r="B77" s="35" t="str">
        <x:v>CSE3CAP - Assignment: Final written Project Report</x:v>
      </x:c>
      <x:c r="C77" s="35" t="n">
        <x:v>52</x:v>
      </x:c>
      <x:c r="D77"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77" s="36" t="str">
        <x:v>SILO2: industry standard technical solutions in software or cybersecurity practice; SILO4: professional system documentation and advanced technical reporting to industry standards</x:v>
      </x:c>
      <x:c r="F77" s="35" t="n">
        <x:v>0.35</x:v>
      </x:c>
      <x:c r="G77" s="37" t="n">
        <x:f>C77*F77</x:f>
        <x:v>18.2</x:v>
      </x:c>
    </x:row>
    <x:row r="78" ht="15" hidden="0" customHeight="1">
      <x:c r="A78" s="34" t="str">
        <x:v>STU0007</x:v>
      </x:c>
      <x:c r="B78" s="35" t="str">
        <x:v>CSE3CAP - Assignment: Sprint Project management reports</x:v>
      </x:c>
      <x:c r="C78" s="35" t="n">
        <x:v>53</x:v>
      </x:c>
      <x:c r="D78"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78" s="36" t="str">
        <x:v>SILO1: advanced project management during substantive development implementation; SILO2: industry standard technical solutions in software or cybersecurity practice</x:v>
      </x:c>
      <x:c r="F78" s="35" t="n">
        <x:v>0.35</x:v>
      </x:c>
      <x:c r="G78" s="37" t="n">
        <x:f>C78*F78</x:f>
        <x:v>18.549999999999997</x:v>
      </x:c>
    </x:row>
    <x:row r="79" ht="15" hidden="0" customHeight="1">
      <x:c r="A79" s="34" t="str">
        <x:v>STU0008</x:v>
      </x:c>
      <x:c r="B79" s="35" t="str">
        <x:v>CSE1OOF - Test</x:v>
      </x:c>
      <x:c r="C79" s="35" t="n">
        <x:v>74</x:v>
      </x:c>
      <x:c r="D79"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79" s="36" t="str">
        <x:v>SILO1: analysis/design/implementation compared with object-oriented modelling using objects that combine data structure and behaviour; SILO2: abstract data types and encapsulation to localise and minimise change</x:v>
      </x:c>
      <x:c r="F79" s="35" t="n">
        <x:v>0.15</x:v>
      </x:c>
      <x:c r="G79" s="37" t="n">
        <x:f>C79*F79</x:f>
        <x:v>11.1</x:v>
      </x:c>
    </x:row>
    <x:row r="80" ht="15" hidden="0" customHeight="1">
      <x:c r="A80" s="34" t="str">
        <x:v>STU0008</x:v>
      </x:c>
      <x:c r="B80" s="35" t="str">
        <x:v>CSE1OOF - Practical demonstration</x:v>
      </x:c>
      <x:c r="C80" s="35" t="n">
        <x:v>78</x:v>
      </x:c>
      <x:c r="D80"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80" s="36" t="str">
        <x:v>SILO2: abstract data types and encapsulation to localise and minimise change; SILO3: code sharing and reuse through object-oriented techniques to reduce development time; SILO4: object-oriented design and implementation of computer programs for real-life problems</x:v>
      </x:c>
      <x:c r="F80" s="35" t="n">
        <x:v>0.2</x:v>
      </x:c>
      <x:c r="G80" s="37" t="n">
        <x:f>C80*F80</x:f>
        <x:v>15.600000000000001</x:v>
      </x:c>
    </x:row>
    <x:row r="81" ht="15" hidden="0" customHeight="1">
      <x:c r="A81" s="34" t="str">
        <x:v>STU0008</x:v>
      </x:c>
      <x:c r="B81" s="35" t="str">
        <x:v>CSE1OOF - Assignment</x:v>
      </x:c>
      <x:c r="C81" s="35" t="n">
        <x:v>73</x:v>
      </x:c>
      <x:c r="D81"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81" s="36" t="str">
        <x:v>SILO2: abstract data types and encapsulation to localise and minimise change; SILO3: code sharing and reuse through object-oriented techniques to reduce development time; SILO4: object-oriented design and implementation of computer programs for real-life problems</x:v>
      </x:c>
      <x:c r="F81" s="35" t="n">
        <x:v>0.25</x:v>
      </x:c>
      <x:c r="G81" s="37" t="n">
        <x:f>C81*F81</x:f>
        <x:v>18.25</x:v>
      </x:c>
    </x:row>
    <x:row r="82" ht="15" hidden="0" customHeight="1">
      <x:c r="A82" s="34" t="str">
        <x:v>STU0008</x:v>
      </x:c>
      <x:c r="B82" s="35" t="str">
        <x:v>CSE1OOF - Central examination</x:v>
      </x:c>
      <x:c r="C82" s="35" t="n">
        <x:v>79</x:v>
      </x:c>
      <x:c r="D82" s="36" t="str">
        <x:v>This strong result shows well-developed understanding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Further improvement would come from deeper justification, more consistent evaluation evidence and tighter links between decisions and implementation details.</x:v>
      </x:c>
      <x:c r="E82"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82" s="35" t="n">
        <x:v>0.4</x:v>
      </x:c>
      <x:c r="G82" s="37" t="n">
        <x:f>C82*F82</x:f>
        <x:v>31.6</x:v>
      </x:c>
    </x:row>
    <x:row r="83" ht="15" hidden="0" customHeight="1">
      <x:c r="A83" s="34" t="str">
        <x:v>STU0008</x:v>
      </x:c>
      <x:c r="B83" s="35" t="str">
        <x:v>CSE2ALG - Test</x:v>
      </x:c>
      <x:c r="C83" s="35" t="n">
        <x:v>81</x:v>
      </x:c>
      <x:c r="D83" s="36" t="str">
        <x:v>This strong result shows well-developed understanding of the relevant learning themes, particularly overall objectives of Algorithms and Data Structures, identifying data structures and searching and sorting algorithms in computing contexts, and implementing data structures and searching and sorting algorithms in Java. Further improvement would come from deeper justification, more consistent evaluation evidence and tighter links between decisions and implementation details.</x:v>
      </x:c>
      <x:c r="E83" s="36" t="str">
        <x:v>SILO1: overall objectives of Algorithms and Data Structures; SILO2: identifying data structures and searching and sorting algorithms in computing contexts; SILO3: implementing data structures and searching and sorting algorithms in Java</x:v>
      </x:c>
      <x:c r="F83" s="35" t="n">
        <x:v>0.2</x:v>
      </x:c>
      <x:c r="G83" s="37" t="n">
        <x:f>C83*F83</x:f>
        <x:v>16.2</x:v>
      </x:c>
    </x:row>
    <x:row r="84" ht="15" hidden="0" customHeight="1">
      <x:c r="A84" s="34" t="str">
        <x:v>STU0008</x:v>
      </x:c>
      <x:c r="B84" s="35" t="str">
        <x:v>CSE2ALG - Assignment</x:v>
      </x:c>
      <x:c r="C84" s="35" t="n">
        <x:v>77</x:v>
      </x:c>
      <x:c r="D84" s="36" t="str">
        <x:v>This strong result shows well-developed understanding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Further improvement would come from deeper justification, more consistent evaluation evidence and tighter links between decisions and implementation details.</x:v>
      </x:c>
      <x:c r="E84"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84" s="35" t="n">
        <x:v>0.3</x:v>
      </x:c>
      <x:c r="G84" s="37" t="n">
        <x:f>C84*F84</x:f>
        <x:v>23.099999999999998</x:v>
      </x:c>
    </x:row>
    <x:row r="85" ht="15" hidden="0" customHeight="1">
      <x:c r="A85" s="34" t="str">
        <x:v>STU0008</x:v>
      </x:c>
      <x:c r="B85" s="35" t="str">
        <x:v>CSE2ALG - Central examination</x:v>
      </x:c>
      <x:c r="C85" s="35" t="n">
        <x:v>80</x:v>
      </x:c>
      <x:c r="D85" s="36" t="str">
        <x:v>This strong result shows well-developed understanding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Further improvement would come from deeper justification, more consistent evaluation evidence and tighter links between decisions and implementation details.</x:v>
      </x:c>
      <x:c r="E85"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85" s="35" t="n">
        <x:v>0.5</x:v>
      </x:c>
      <x:c r="G85" s="37" t="n">
        <x:f>C85*F85</x:f>
        <x:v>40</x:v>
      </x:c>
    </x:row>
    <x:row r="86" ht="15" hidden="0" customHeight="1">
      <x:c r="A86" s="34" t="str">
        <x:v>STU0008</x:v>
      </x:c>
      <x:c r="B86" s="35" t="str">
        <x:v>CSE3CAP - Oral presentation: Project Milestone Presentation</x:v>
      </x:c>
      <x:c r="C86" s="35" t="n">
        <x:v>79</x:v>
      </x:c>
      <x:c r="D86"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86" s="36" t="str">
        <x:v>SILO3: reporting project outcomes to technical and non-technical audiences and reflecting on feedback</x:v>
      </x:c>
      <x:c r="F86" s="35" t="n">
        <x:v>0.1</x:v>
      </x:c>
      <x:c r="G86" s="37" t="n">
        <x:f>C86*F86</x:f>
        <x:v>7.9</x:v>
      </x:c>
    </x:row>
    <x:row r="87" ht="15" hidden="0" customHeight="1">
      <x:c r="A87" s="34" t="str">
        <x:v>STU0008</x:v>
      </x:c>
      <x:c r="B87" s="35" t="str">
        <x:v>CSE3CAP - Oral presentation: Final Project Presentation</x:v>
      </x:c>
      <x:c r="C87" s="35" t="n">
        <x:v>77</x:v>
      </x:c>
      <x:c r="D87"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87" s="36" t="str">
        <x:v>SILO3: reporting project outcomes to technical and non-technical audiences and reflecting on feedback</x:v>
      </x:c>
      <x:c r="F87" s="35" t="n">
        <x:v>0.2</x:v>
      </x:c>
      <x:c r="G87" s="37" t="n">
        <x:f>C87*F87</x:f>
        <x:v>15.4</x:v>
      </x:c>
    </x:row>
    <x:row r="88" ht="15" hidden="0" customHeight="1">
      <x:c r="A88" s="34" t="str">
        <x:v>STU0008</x:v>
      </x:c>
      <x:c r="B88" s="35" t="str">
        <x:v>CSE3CAP - Assignment: Final written Project Report</x:v>
      </x:c>
      <x:c r="C88" s="35" t="n">
        <x:v>82</x:v>
      </x:c>
      <x:c r="D88" s="36" t="str">
        <x:v>This strong result shows well-developed understanding of the relevant learning themes, particularly industry standard technical solutions in software or cybersecurity practice and professional system documentation and advanced technical reporting to industry standards. Further improvement would come from deeper justification, more consistent evaluation evidence and tighter links between decisions and implementation details.</x:v>
      </x:c>
      <x:c r="E88" s="36" t="str">
        <x:v>SILO2: industry standard technical solutions in software or cybersecurity practice; SILO4: professional system documentation and advanced technical reporting to industry standards</x:v>
      </x:c>
      <x:c r="F88" s="35" t="n">
        <x:v>0.35</x:v>
      </x:c>
      <x:c r="G88" s="37" t="n">
        <x:f>C88*F88</x:f>
        <x:v>28.7</x:v>
      </x:c>
    </x:row>
    <x:row r="89" ht="15" hidden="0" customHeight="1">
      <x:c r="A89" s="34" t="str">
        <x:v>STU0008</x:v>
      </x:c>
      <x:c r="B89" s="35" t="str">
        <x:v>CSE3CAP - Assignment: Sprint Project management reports</x:v>
      </x:c>
      <x:c r="C89" s="35" t="n">
        <x:v>81</x:v>
      </x:c>
      <x:c r="D89" s="36" t="str">
        <x:v>This strong result shows well-developed understanding of the relevant learning themes, particularly advanced project management during substantive development implementation and industry standard technical solutions in software or cybersecurity practice. Further improvement would come from deeper justification, more consistent evaluation evidence and tighter links between decisions and implementation details.</x:v>
      </x:c>
      <x:c r="E89" s="36" t="str">
        <x:v>SILO1: advanced project management during substantive development implementation; SILO2: industry standard technical solutions in software or cybersecurity practice</x:v>
      </x:c>
      <x:c r="F89" s="35" t="n">
        <x:v>0.35</x:v>
      </x:c>
      <x:c r="G89" s="37" t="n">
        <x:f>C89*F89</x:f>
        <x:v>28.349999999999998</x:v>
      </x:c>
    </x:row>
    <x:row r="90" ht="15" hidden="0" customHeight="1">
      <x:c r="A90" s="34" t="str">
        <x:v>STU0009</x:v>
      </x:c>
      <x:c r="B90" s="35" t="str">
        <x:v>CSE1OOF - Test</x:v>
      </x:c>
      <x:c r="C90" s="35" t="n">
        <x:v>65</x:v>
      </x:c>
      <x:c r="D90"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90" s="36" t="str">
        <x:v>SILO1: analysis/design/implementation compared with object-oriented modelling using objects that combine data structure and behaviour; SILO2: abstract data types and encapsulation to localise and minimise change</x:v>
      </x:c>
      <x:c r="F90" s="35" t="n">
        <x:v>0.15</x:v>
      </x:c>
      <x:c r="G90" s="37" t="n">
        <x:f>C90*F90</x:f>
        <x:v>9.75</x:v>
      </x:c>
    </x:row>
    <x:row r="91" ht="15" hidden="0" customHeight="1">
      <x:c r="A91" s="34" t="str">
        <x:v>STU0009</x:v>
      </x:c>
      <x:c r="B91" s="35" t="str">
        <x:v>CSE1OOF - Practical demonstration</x:v>
      </x:c>
      <x:c r="C91" s="35" t="n">
        <x:v>66</x:v>
      </x:c>
      <x:c r="D91"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91" s="36" t="str">
        <x:v>SILO2: abstract data types and encapsulation to localise and minimise change; SILO3: code sharing and reuse through object-oriented techniques to reduce development time; SILO4: object-oriented design and implementation of computer programs for real-life problems</x:v>
      </x:c>
      <x:c r="F91" s="35" t="n">
        <x:v>0.2</x:v>
      </x:c>
      <x:c r="G91" s="37" t="n">
        <x:f>C91*F91</x:f>
        <x:v>13.200000000000001</x:v>
      </x:c>
    </x:row>
    <x:row r="92" ht="15" hidden="0" customHeight="1">
      <x:c r="A92" s="34" t="str">
        <x:v>STU0009</x:v>
      </x:c>
      <x:c r="B92" s="35" t="str">
        <x:v>CSE1OOF - Assignment</x:v>
      </x:c>
      <x:c r="C92" s="35" t="n">
        <x:v>65</x:v>
      </x:c>
      <x:c r="D92"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92" s="36" t="str">
        <x:v>SILO2: abstract data types and encapsulation to localise and minimise change; SILO3: code sharing and reuse through object-oriented techniques to reduce development time; SILO4: object-oriented design and implementation of computer programs for real-life problems</x:v>
      </x:c>
      <x:c r="F92" s="35" t="n">
        <x:v>0.25</x:v>
      </x:c>
      <x:c r="G92" s="37" t="n">
        <x:f>C92*F92</x:f>
        <x:v>16.25</x:v>
      </x:c>
    </x:row>
    <x:row r="93" ht="15" hidden="0" customHeight="1">
      <x:c r="A93" s="34" t="str">
        <x:v>STU0009</x:v>
      </x:c>
      <x:c r="B93" s="35" t="str">
        <x:v>CSE1OOF - Central examination</x:v>
      </x:c>
      <x:c r="C93" s="35" t="n">
        <x:v>65</x:v>
      </x:c>
      <x:c r="D93"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93"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93" s="35" t="n">
        <x:v>0.4</x:v>
      </x:c>
      <x:c r="G93" s="37" t="n">
        <x:f>C93*F93</x:f>
        <x:v>26</x:v>
      </x:c>
    </x:row>
    <x:row r="94" ht="15" hidden="0" customHeight="1">
      <x:c r="A94" s="34" t="str">
        <x:v>STU0009</x:v>
      </x:c>
      <x:c r="B94" s="35" t="str">
        <x:v>CSE2ALG - Test</x:v>
      </x:c>
      <x:c r="C94" s="35" t="n">
        <x:v>73</x:v>
      </x:c>
      <x:c r="D94"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94" s="36" t="str">
        <x:v>SILO1: overall objectives of Algorithms and Data Structures; SILO2: identifying data structures and searching and sorting algorithms in computing contexts; SILO3: implementing data structures and searching and sorting algorithms in Java</x:v>
      </x:c>
      <x:c r="F94" s="35" t="n">
        <x:v>0.2</x:v>
      </x:c>
      <x:c r="G94" s="37" t="n">
        <x:f>C94*F94</x:f>
        <x:v>14.600000000000001</x:v>
      </x:c>
    </x:row>
    <x:row r="95" ht="15" hidden="0" customHeight="1">
      <x:c r="A95" s="34" t="str">
        <x:v>STU0009</x:v>
      </x:c>
      <x:c r="B95" s="35" t="str">
        <x:v>CSE2ALG - Assignment</x:v>
      </x:c>
      <x:c r="C95" s="35" t="n">
        <x:v>67</x:v>
      </x:c>
      <x:c r="D95" s="36" t="str">
        <x:v>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x:v>
      </x:c>
      <x:c r="E95"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95" s="35" t="n">
        <x:v>0.3</x:v>
      </x:c>
      <x:c r="G95" s="37" t="n">
        <x:f>C95*F95</x:f>
        <x:v>20.099999999999998</x:v>
      </x:c>
    </x:row>
    <x:row r="96" ht="15" hidden="0" customHeight="1">
      <x:c r="A96" s="34" t="str">
        <x:v>STU0009</x:v>
      </x:c>
      <x:c r="B96" s="35" t="str">
        <x:v>CSE2ALG - Central examination</x:v>
      </x:c>
      <x:c r="C96" s="35" t="n">
        <x:v>68</x:v>
      </x:c>
      <x:c r="D96"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96"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96" s="35" t="n">
        <x:v>0.5</x:v>
      </x:c>
      <x:c r="G96" s="37" t="n">
        <x:f>C96*F96</x:f>
        <x:v>34</x:v>
      </x:c>
    </x:row>
    <x:row r="97" ht="15" hidden="0" customHeight="1">
      <x:c r="A97" s="34" t="str">
        <x:v>STU0009</x:v>
      </x:c>
      <x:c r="B97" s="35" t="str">
        <x:v>CSE3CAP - Oral presentation: Project Milestone Presentation</x:v>
      </x:c>
      <x:c r="C97" s="35" t="n">
        <x:v>66</x:v>
      </x:c>
      <x:c r="D97"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97" s="36" t="str">
        <x:v>SILO3: reporting project outcomes to technical and non-technical audiences and reflecting on feedback</x:v>
      </x:c>
      <x:c r="F97" s="35" t="n">
        <x:v>0.1</x:v>
      </x:c>
      <x:c r="G97" s="37" t="n">
        <x:f>C97*F97</x:f>
        <x:v>6.6000000000000005</x:v>
      </x:c>
    </x:row>
    <x:row r="98" ht="15" hidden="0" customHeight="1">
      <x:c r="A98" s="34" t="str">
        <x:v>STU0009</x:v>
      </x:c>
      <x:c r="B98" s="35" t="str">
        <x:v>CSE3CAP - Oral presentation: Final Project Presentation</x:v>
      </x:c>
      <x:c r="C98" s="35" t="n">
        <x:v>72</x:v>
      </x:c>
      <x:c r="D98"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98" s="36" t="str">
        <x:v>SILO3: reporting project outcomes to technical and non-technical audiences and reflecting on feedback</x:v>
      </x:c>
      <x:c r="F98" s="35" t="n">
        <x:v>0.2</x:v>
      </x:c>
      <x:c r="G98" s="37" t="n">
        <x:f>C98*F98</x:f>
        <x:v>14.4</x:v>
      </x:c>
    </x:row>
    <x:row r="99" ht="15" hidden="0" customHeight="1">
      <x:c r="A99" s="34" t="str">
        <x:v>STU0009</x:v>
      </x:c>
      <x:c r="B99" s="35" t="str">
        <x:v>CSE3CAP - Assignment: Final written Project Report</x:v>
      </x:c>
      <x:c r="C99" s="35" t="n">
        <x:v>72</x:v>
      </x:c>
      <x:c r="D99" s="36" t="str">
        <x:v>This sound result shows a competent and generally reliable grasp of the relevant learning themes, particularly industry standard technical solutions in software or cybersecurity practice and professional system documentation and advanced technical reporting to industry standards. To strengthen the result, the student should provide clearer reasoning, improve technical precision and show more complete testing or reflection.</x:v>
      </x:c>
      <x:c r="E99" s="36" t="str">
        <x:v>SILO2: industry standard technical solutions in software or cybersecurity practice; SILO4: professional system documentation and advanced technical reporting to industry standards</x:v>
      </x:c>
      <x:c r="F99" s="35" t="n">
        <x:v>0.35</x:v>
      </x:c>
      <x:c r="G99" s="37" t="n">
        <x:f>C99*F99</x:f>
        <x:v>25.2</x:v>
      </x:c>
    </x:row>
    <x:row r="100" ht="15" hidden="0" customHeight="1">
      <x:c r="A100" s="34" t="str">
        <x:v>STU0009</x:v>
      </x:c>
      <x:c r="B100" s="35" t="str">
        <x:v>CSE3CAP - Assignment: Sprint Project management reports</x:v>
      </x:c>
      <x:c r="C100" s="35" t="n">
        <x:v>72</x:v>
      </x:c>
      <x:c r="D100" s="36" t="str">
        <x:v>This sound result shows a competent and generally reliable grasp of the relevant learning themes, particularly advanced project management during substantive development implementation and industry standard technical solutions in software or cybersecurity practice. To strengthen the result, the student should provide clearer reasoning, improve technical precision and show more complete testing or reflection.</x:v>
      </x:c>
      <x:c r="E100" s="36" t="str">
        <x:v>SILO1: advanced project management during substantive development implementation; SILO2: industry standard technical solutions in software or cybersecurity practice</x:v>
      </x:c>
      <x:c r="F100" s="35" t="n">
        <x:v>0.35</x:v>
      </x:c>
      <x:c r="G100" s="37" t="n">
        <x:f>C100*F100</x:f>
        <x:v>25.2</x:v>
      </x:c>
    </x:row>
    <x:row r="101" ht="15" hidden="0" customHeight="1">
      <x:c r="A101" s="34" t="str">
        <x:v>STU0010</x:v>
      </x:c>
      <x:c r="B101" s="35" t="str">
        <x:v>CSE1OOF - Test</x:v>
      </x:c>
      <x:c r="C101" s="35" t="n">
        <x:v>67</x:v>
      </x:c>
      <x:c r="D101"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101" s="36" t="str">
        <x:v>SILO1: analysis/design/implementation compared with object-oriented modelling using objects that combine data structure and behaviour; SILO2: abstract data types and encapsulation to localise and minimise change</x:v>
      </x:c>
      <x:c r="F101" s="35" t="n">
        <x:v>0.15</x:v>
      </x:c>
      <x:c r="G101" s="37" t="n">
        <x:f>C101*F101</x:f>
        <x:v>10.049999999999999</x:v>
      </x:c>
    </x:row>
    <x:row r="102" ht="15" hidden="0" customHeight="1">
      <x:c r="A102" s="34" t="str">
        <x:v>STU0010</x:v>
      </x:c>
      <x:c r="B102" s="35" t="str">
        <x:v>CSE1OOF - Practical demonstration</x:v>
      </x:c>
      <x:c r="C102" s="35" t="n">
        <x:v>66</x:v>
      </x:c>
      <x:c r="D102"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02" s="36" t="str">
        <x:v>SILO2: abstract data types and encapsulation to localise and minimise change; SILO3: code sharing and reuse through object-oriented techniques to reduce development time; SILO4: object-oriented design and implementation of computer programs for real-life problems</x:v>
      </x:c>
      <x:c r="F102" s="35" t="n">
        <x:v>0.2</x:v>
      </x:c>
      <x:c r="G102" s="37" t="n">
        <x:f>C102*F102</x:f>
        <x:v>13.200000000000001</x:v>
      </x:c>
    </x:row>
    <x:row r="103" ht="15" hidden="0" customHeight="1">
      <x:c r="A103" s="34" t="str">
        <x:v>STU0010</x:v>
      </x:c>
      <x:c r="B103" s="35" t="str">
        <x:v>CSE1OOF - Assignment</x:v>
      </x:c>
      <x:c r="C103" s="35" t="n">
        <x:v>65</x:v>
      </x:c>
      <x:c r="D103"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03" s="36" t="str">
        <x:v>SILO2: abstract data types and encapsulation to localise and minimise change; SILO3: code sharing and reuse through object-oriented techniques to reduce development time; SILO4: object-oriented design and implementation of computer programs for real-life problems</x:v>
      </x:c>
      <x:c r="F103" s="35" t="n">
        <x:v>0.25</x:v>
      </x:c>
      <x:c r="G103" s="37" t="n">
        <x:f>C103*F103</x:f>
        <x:v>16.25</x:v>
      </x:c>
    </x:row>
    <x:row r="104" ht="15" hidden="0" customHeight="1">
      <x:c r="A104" s="34" t="str">
        <x:v>STU0010</x:v>
      </x:c>
      <x:c r="B104" s="35" t="str">
        <x:v>CSE1OOF - Central examination</x:v>
      </x:c>
      <x:c r="C104" s="35" t="n">
        <x:v>69</x:v>
      </x:c>
      <x:c r="D104"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104"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04" s="35" t="n">
        <x:v>0.4</x:v>
      </x:c>
      <x:c r="G104" s="37" t="n">
        <x:f>C104*F104</x:f>
        <x:v>27.6</x:v>
      </x:c>
    </x:row>
    <x:row r="105" ht="15" hidden="0" customHeight="1">
      <x:c r="A105" s="34" t="str">
        <x:v>STU0010</x:v>
      </x:c>
      <x:c r="B105" s="35" t="str">
        <x:v>CSE2ALG - Test</x:v>
      </x:c>
      <x:c r="C105" s="35" t="n">
        <x:v>66</x:v>
      </x:c>
      <x:c r="D105"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105" s="36" t="str">
        <x:v>SILO1: overall objectives of Algorithms and Data Structures; SILO2: identifying data structures and searching and sorting algorithms in computing contexts; SILO3: implementing data structures and searching and sorting algorithms in Java</x:v>
      </x:c>
      <x:c r="F105" s="35" t="n">
        <x:v>0.2</x:v>
      </x:c>
      <x:c r="G105" s="37" t="n">
        <x:f>C105*F105</x:f>
        <x:v>13.200000000000001</x:v>
      </x:c>
    </x:row>
    <x:row r="106" ht="15" hidden="0" customHeight="1">
      <x:c r="A106" s="34" t="str">
        <x:v>STU0010</x:v>
      </x:c>
      <x:c r="B106" s="35" t="str">
        <x:v>CSE2ALG - Assignment</x:v>
      </x:c>
      <x:c r="C106" s="35" t="n">
        <x:v>69</x:v>
      </x:c>
      <x:c r="D106" s="36" t="str">
        <x:v>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x:v>
      </x:c>
      <x:c r="E106"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06" s="35" t="n">
        <x:v>0.3</x:v>
      </x:c>
      <x:c r="G106" s="37" t="n">
        <x:f>C106*F106</x:f>
        <x:v>20.7</x:v>
      </x:c>
    </x:row>
    <x:row r="107" ht="15" hidden="0" customHeight="1">
      <x:c r="A107" s="34" t="str">
        <x:v>STU0010</x:v>
      </x:c>
      <x:c r="B107" s="35" t="str">
        <x:v>CSE2ALG - Central examination</x:v>
      </x:c>
      <x:c r="C107" s="35" t="n">
        <x:v>65</x:v>
      </x:c>
      <x:c r="D107"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107"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07" s="35" t="n">
        <x:v>0.5</x:v>
      </x:c>
      <x:c r="G107" s="37" t="n">
        <x:f>C107*F107</x:f>
        <x:v>32.5</x:v>
      </x:c>
    </x:row>
    <x:row r="108" ht="15" hidden="0" customHeight="1">
      <x:c r="A108" s="34" t="str">
        <x:v>STU0010</x:v>
      </x:c>
      <x:c r="B108" s="35" t="str">
        <x:v>CSE3CAP - Oral presentation: Project Milestone Presentation</x:v>
      </x:c>
      <x:c r="C108" s="35" t="n">
        <x:v>67</x:v>
      </x:c>
      <x:c r="D108"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108" s="36" t="str">
        <x:v>SILO3: reporting project outcomes to technical and non-technical audiences and reflecting on feedback</x:v>
      </x:c>
      <x:c r="F108" s="35" t="n">
        <x:v>0.1</x:v>
      </x:c>
      <x:c r="G108" s="37" t="n">
        <x:f>C108*F108</x:f>
        <x:v>6.7</x:v>
      </x:c>
    </x:row>
    <x:row r="109" ht="15" hidden="0" customHeight="1">
      <x:c r="A109" s="34" t="str">
        <x:v>STU0010</x:v>
      </x:c>
      <x:c r="B109" s="35" t="str">
        <x:v>CSE3CAP - Oral presentation: Final Project Presentation</x:v>
      </x:c>
      <x:c r="C109" s="35" t="n">
        <x:v>64</x:v>
      </x:c>
      <x:c r="D109"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09" s="36" t="str">
        <x:v>SILO3: reporting project outcomes to technical and non-technical audiences and reflecting on feedback</x:v>
      </x:c>
      <x:c r="F109" s="35" t="n">
        <x:v>0.2</x:v>
      </x:c>
      <x:c r="G109" s="37" t="n">
        <x:f>C109*F109</x:f>
        <x:v>12.8</x:v>
      </x:c>
    </x:row>
    <x:row r="110" ht="15" hidden="0" customHeight="1">
      <x:c r="A110" s="34" t="str">
        <x:v>STU0010</x:v>
      </x:c>
      <x:c r="B110" s="35" t="str">
        <x:v>CSE3CAP - Assignment: Final written Project Report</x:v>
      </x:c>
      <x:c r="C110" s="35" t="n">
        <x:v>69</x:v>
      </x:c>
      <x:c r="D110" s="36" t="str">
        <x:v>This sound result shows a competent and generally reliable grasp of the relevant learning themes, particularly industry standard technical solutions in software or cybersecurity practice and professional system documentation and advanced technical reporting to industry standards. To strengthen the result, the student should provide clearer reasoning, improve technical precision and show more complete testing or reflection.</x:v>
      </x:c>
      <x:c r="E110" s="36" t="str">
        <x:v>SILO2: industry standard technical solutions in software or cybersecurity practice; SILO4: professional system documentation and advanced technical reporting to industry standards</x:v>
      </x:c>
      <x:c r="F110" s="35" t="n">
        <x:v>0.35</x:v>
      </x:c>
      <x:c r="G110" s="37" t="n">
        <x:f>C110*F110</x:f>
        <x:v>24.15</x:v>
      </x:c>
    </x:row>
    <x:row r="111" ht="15" hidden="0" customHeight="1">
      <x:c r="A111" s="34" t="str">
        <x:v>STU0010</x:v>
      </x:c>
      <x:c r="B111" s="35" t="str">
        <x:v>CSE3CAP - Assignment: Sprint Project management reports</x:v>
      </x:c>
      <x:c r="C111" s="35" t="n">
        <x:v>64</x:v>
      </x:c>
      <x:c r="D111"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111" s="36" t="str">
        <x:v>SILO1: advanced project management during substantive development implementation; SILO2: industry standard technical solutions in software or cybersecurity practice</x:v>
      </x:c>
      <x:c r="F111" s="35" t="n">
        <x:v>0.35</x:v>
      </x:c>
      <x:c r="G111" s="37" t="n">
        <x:f>C111*F111</x:f>
        <x:v>22.4</x:v>
      </x:c>
    </x:row>
    <x:row r="112" ht="15" hidden="0" customHeight="1">
      <x:c r="A112" s="34" t="str">
        <x:v>STU0011</x:v>
      </x:c>
      <x:c r="B112" s="35" t="str">
        <x:v>CSE1OOF - Test</x:v>
      </x:c>
      <x:c r="C112" s="35" t="n">
        <x:v>55</x:v>
      </x:c>
      <x:c r="D112"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112" s="36" t="str">
        <x:v>SILO1: analysis/design/implementation compared with object-oriented modelling using objects that combine data structure and behaviour; SILO2: abstract data types and encapsulation to localise and minimise change</x:v>
      </x:c>
      <x:c r="F112" s="35" t="n">
        <x:v>0.15</x:v>
      </x:c>
      <x:c r="G112" s="37" t="n">
        <x:f>C112*F112</x:f>
        <x:v>8.25</x:v>
      </x:c>
    </x:row>
    <x:row r="113" ht="15" hidden="0" customHeight="1">
      <x:c r="A113" s="34" t="str">
        <x:v>STU0011</x:v>
      </x:c>
      <x:c r="B113" s="35" t="str">
        <x:v>CSE1OOF - Practical demonstration</x:v>
      </x:c>
      <x:c r="C113" s="35" t="n">
        <x:v>54</x:v>
      </x:c>
      <x:c r="D113"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13" s="36" t="str">
        <x:v>SILO2: abstract data types and encapsulation to localise and minimise change; SILO3: code sharing and reuse through object-oriented techniques to reduce development time; SILO4: object-oriented design and implementation of computer programs for real-life problems</x:v>
      </x:c>
      <x:c r="F113" s="35" t="n">
        <x:v>0.2</x:v>
      </x:c>
      <x:c r="G113" s="37" t="n">
        <x:f>C113*F113</x:f>
        <x:v>10.8</x:v>
      </x:c>
    </x:row>
    <x:row r="114" ht="15" hidden="0" customHeight="1">
      <x:c r="A114" s="34" t="str">
        <x:v>STU0011</x:v>
      </x:c>
      <x:c r="B114" s="35" t="str">
        <x:v>CSE1OOF - Assignment</x:v>
      </x:c>
      <x:c r="C114" s="35" t="n">
        <x:v>52</x:v>
      </x:c>
      <x:c r="D114"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14" s="36" t="str">
        <x:v>SILO2: abstract data types and encapsulation to localise and minimise change; SILO3: code sharing and reuse through object-oriented techniques to reduce development time; SILO4: object-oriented design and implementation of computer programs for real-life problems</x:v>
      </x:c>
      <x:c r="F114" s="35" t="n">
        <x:v>0.25</x:v>
      </x:c>
      <x:c r="G114" s="37" t="n">
        <x:f>C114*F114</x:f>
        <x:v>13</x:v>
      </x:c>
    </x:row>
    <x:row r="115" ht="15" hidden="0" customHeight="1">
      <x:c r="A115" s="34" t="str">
        <x:v>STU0011</x:v>
      </x:c>
      <x:c r="B115" s="35" t="str">
        <x:v>CSE1OOF - Central examination</x:v>
      </x:c>
      <x:c r="C115" s="35" t="n">
        <x:v>50</x:v>
      </x:c>
      <x:c r="D115" s="36" t="str">
        <x:v>This developing result meets the core requirements but needs greater consistency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Future work should focus on consolidating the underlying concepts, applying them more consistently and explaining design or implementation decisions with stronger evidence.</x:v>
      </x:c>
      <x:c r="E115"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15" s="35" t="n">
        <x:v>0.4</x:v>
      </x:c>
      <x:c r="G115" s="37" t="n">
        <x:f>C115*F115</x:f>
        <x:v>20</x:v>
      </x:c>
    </x:row>
    <x:row r="116" ht="15" hidden="0" customHeight="1">
      <x:c r="A116" s="34" t="str">
        <x:v>STU0011</x:v>
      </x:c>
      <x:c r="B116" s="35" t="str">
        <x:v>CSE2ALG - Test</x:v>
      </x:c>
      <x:c r="C116" s="35" t="n">
        <x:v>57</x:v>
      </x:c>
      <x:c r="D116"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116" s="36" t="str">
        <x:v>SILO1: overall objectives of Algorithms and Data Structures; SILO2: identifying data structures and searching and sorting algorithms in computing contexts; SILO3: implementing data structures and searching and sorting algorithms in Java</x:v>
      </x:c>
      <x:c r="F116" s="35" t="n">
        <x:v>0.2</x:v>
      </x:c>
      <x:c r="G116" s="37" t="n">
        <x:f>C116*F116</x:f>
        <x:v>11.4</x:v>
      </x:c>
    </x:row>
    <x:row r="117" ht="15" hidden="0" customHeight="1">
      <x:c r="A117" s="34" t="str">
        <x:v>STU0011</x:v>
      </x:c>
      <x:c r="B117" s="35" t="str">
        <x:v>CSE2ALG - Assignment</x:v>
      </x:c>
      <x:c r="C117" s="35" t="n">
        <x:v>56</x:v>
      </x:c>
      <x:c r="D117"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117"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17" s="35" t="n">
        <x:v>0.3</x:v>
      </x:c>
      <x:c r="G117" s="37" t="n">
        <x:f>C117*F117</x:f>
        <x:v>16.8</x:v>
      </x:c>
    </x:row>
    <x:row r="118" ht="15" hidden="0" customHeight="1">
      <x:c r="A118" s="34" t="str">
        <x:v>STU0011</x:v>
      </x:c>
      <x:c r="B118" s="35" t="str">
        <x:v>CSE2ALG - Central examination</x:v>
      </x:c>
      <x:c r="C118" s="35" t="n">
        <x:v>55</x:v>
      </x:c>
      <x:c r="D118" s="36" t="str">
        <x:v>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x:v>
      </x:c>
      <x:c r="E118"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18" s="35" t="n">
        <x:v>0.5</x:v>
      </x:c>
      <x:c r="G118" s="37" t="n">
        <x:f>C118*F118</x:f>
        <x:v>27.5</x:v>
      </x:c>
    </x:row>
    <x:row r="119" ht="15" hidden="0" customHeight="1">
      <x:c r="A119" s="34" t="str">
        <x:v>STU0011</x:v>
      </x:c>
      <x:c r="B119" s="35" t="str">
        <x:v>CSE3CAP - Oral presentation: Project Milestone Presentation</x:v>
      </x:c>
      <x:c r="C119" s="35" t="n">
        <x:v>56</x:v>
      </x:c>
      <x:c r="D119"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19" s="36" t="str">
        <x:v>SILO3: reporting project outcomes to technical and non-technical audiences and reflecting on feedback</x:v>
      </x:c>
      <x:c r="F119" s="35" t="n">
        <x:v>0.1</x:v>
      </x:c>
      <x:c r="G119" s="37" t="n">
        <x:f>C119*F119</x:f>
        <x:v>5.6000000000000005</x:v>
      </x:c>
    </x:row>
    <x:row r="120" ht="15" hidden="0" customHeight="1">
      <x:c r="A120" s="34" t="str">
        <x:v>STU0011</x:v>
      </x:c>
      <x:c r="B120" s="35" t="str">
        <x:v>CSE3CAP - Oral presentation: Final Project Presentation</x:v>
      </x:c>
      <x:c r="C120" s="35" t="n">
        <x:v>55</x:v>
      </x:c>
      <x:c r="D120"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20" s="36" t="str">
        <x:v>SILO3: reporting project outcomes to technical and non-technical audiences and reflecting on feedback</x:v>
      </x:c>
      <x:c r="F120" s="35" t="n">
        <x:v>0.2</x:v>
      </x:c>
      <x:c r="G120" s="37" t="n">
        <x:f>C120*F120</x:f>
        <x:v>11</x:v>
      </x:c>
    </x:row>
    <x:row r="121" ht="15" hidden="0" customHeight="1">
      <x:c r="A121" s="34" t="str">
        <x:v>STU0011</x:v>
      </x:c>
      <x:c r="B121" s="35" t="str">
        <x:v>CSE3CAP - Assignment: Final written Project Report</x:v>
      </x:c>
      <x:c r="C121" s="35" t="n">
        <x:v>58</x:v>
      </x:c>
      <x:c r="D121"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121" s="36" t="str">
        <x:v>SILO2: industry standard technical solutions in software or cybersecurity practice; SILO4: professional system documentation and advanced technical reporting to industry standards</x:v>
      </x:c>
      <x:c r="F121" s="35" t="n">
        <x:v>0.35</x:v>
      </x:c>
      <x:c r="G121" s="37" t="n">
        <x:f>C121*F121</x:f>
        <x:v>20.299999999999997</x:v>
      </x:c>
    </x:row>
    <x:row r="122" ht="15" hidden="0" customHeight="1">
      <x:c r="A122" s="34" t="str">
        <x:v>STU0011</x:v>
      </x:c>
      <x:c r="B122" s="35" t="str">
        <x:v>CSE3CAP - Assignment: Sprint Project management reports</x:v>
      </x:c>
      <x:c r="C122" s="35" t="n">
        <x:v>54</x:v>
      </x:c>
      <x:c r="D122"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122" s="36" t="str">
        <x:v>SILO1: advanced project management during substantive development implementation; SILO2: industry standard technical solutions in software or cybersecurity practice</x:v>
      </x:c>
      <x:c r="F122" s="35" t="n">
        <x:v>0.35</x:v>
      </x:c>
      <x:c r="G122" s="37" t="n">
        <x:f>C122*F122</x:f>
        <x:v>18.9</x:v>
      </x:c>
    </x:row>
    <x:row r="123" ht="15" hidden="0" customHeight="1">
      <x:c r="A123" s="34" t="str">
        <x:v>STU0012</x:v>
      </x:c>
      <x:c r="B123" s="35" t="str">
        <x:v>CSE1OOF - Test</x:v>
      </x:c>
      <x:c r="C123" s="35" t="n">
        <x:v>61</x:v>
      </x:c>
      <x:c r="D123"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123" s="36" t="str">
        <x:v>SILO1: analysis/design/implementation compared with object-oriented modelling using objects that combine data structure and behaviour; SILO2: abstract data types and encapsulation to localise and minimise change</x:v>
      </x:c>
      <x:c r="F123" s="35" t="n">
        <x:v>0.15</x:v>
      </x:c>
      <x:c r="G123" s="37" t="n">
        <x:f>C123*F123</x:f>
        <x:v>9.15</x:v>
      </x:c>
    </x:row>
    <x:row r="124" ht="15" hidden="0" customHeight="1">
      <x:c r="A124" s="34" t="str">
        <x:v>STU0012</x:v>
      </x:c>
      <x:c r="B124" s="35" t="str">
        <x:v>CSE1OOF - Practical demonstration</x:v>
      </x:c>
      <x:c r="C124" s="35" t="n">
        <x:v>64</x:v>
      </x:c>
      <x:c r="D124"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24" s="36" t="str">
        <x:v>SILO2: abstract data types and encapsulation to localise and minimise change; SILO3: code sharing and reuse through object-oriented techniques to reduce development time; SILO4: object-oriented design and implementation of computer programs for real-life problems</x:v>
      </x:c>
      <x:c r="F124" s="35" t="n">
        <x:v>0.2</x:v>
      </x:c>
      <x:c r="G124" s="37" t="n">
        <x:f>C124*F124</x:f>
        <x:v>12.8</x:v>
      </x:c>
    </x:row>
    <x:row r="125" ht="15" hidden="0" customHeight="1">
      <x:c r="A125" s="34" t="str">
        <x:v>STU0012</x:v>
      </x:c>
      <x:c r="B125" s="35" t="str">
        <x:v>CSE1OOF - Assignment</x:v>
      </x:c>
      <x:c r="C125" s="35" t="n">
        <x:v>61</x:v>
      </x:c>
      <x:c r="D125"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25" s="36" t="str">
        <x:v>SILO2: abstract data types and encapsulation to localise and minimise change; SILO3: code sharing and reuse through object-oriented techniques to reduce development time; SILO4: object-oriented design and implementation of computer programs for real-life problems</x:v>
      </x:c>
      <x:c r="F125" s="35" t="n">
        <x:v>0.25</x:v>
      </x:c>
      <x:c r="G125" s="37" t="n">
        <x:f>C125*F125</x:f>
        <x:v>15.25</x:v>
      </x:c>
    </x:row>
    <x:row r="126" ht="15" hidden="0" customHeight="1">
      <x:c r="A126" s="34" t="str">
        <x:v>STU0012</x:v>
      </x:c>
      <x:c r="B126" s="35" t="str">
        <x:v>CSE1OOF - Central examination</x:v>
      </x:c>
      <x:c r="C126" s="35" t="n">
        <x:v>66</x:v>
      </x:c>
      <x:c r="D126"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126"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26" s="35" t="n">
        <x:v>0.4</x:v>
      </x:c>
      <x:c r="G126" s="37" t="n">
        <x:f>C126*F126</x:f>
        <x:v>26.400000000000002</x:v>
      </x:c>
    </x:row>
    <x:row r="127" ht="15" hidden="0" customHeight="1">
      <x:c r="A127" s="34" t="str">
        <x:v>STU0012</x:v>
      </x:c>
      <x:c r="B127" s="35" t="str">
        <x:v>CSE2ALG - Test</x:v>
      </x:c>
      <x:c r="C127" s="35" t="n">
        <x:v>67</x:v>
      </x:c>
      <x:c r="D127"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127" s="36" t="str">
        <x:v>SILO1: overall objectives of Algorithms and Data Structures; SILO2: identifying data structures and searching and sorting algorithms in computing contexts; SILO3: implementing data structures and searching and sorting algorithms in Java</x:v>
      </x:c>
      <x:c r="F127" s="35" t="n">
        <x:v>0.2</x:v>
      </x:c>
      <x:c r="G127" s="37" t="n">
        <x:f>C127*F127</x:f>
        <x:v>13.4</x:v>
      </x:c>
    </x:row>
    <x:row r="128" ht="15" hidden="0" customHeight="1">
      <x:c r="A128" s="34" t="str">
        <x:v>STU0012</x:v>
      </x:c>
      <x:c r="B128" s="35" t="str">
        <x:v>CSE2ALG - Assignment</x:v>
      </x:c>
      <x:c r="C128" s="35" t="n">
        <x:v>71</x:v>
      </x:c>
      <x:c r="D128" s="36" t="str">
        <x:v>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x:v>
      </x:c>
      <x:c r="E128"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28" s="35" t="n">
        <x:v>0.3</x:v>
      </x:c>
      <x:c r="G128" s="37" t="n">
        <x:f>C128*F128</x:f>
        <x:v>21.3</x:v>
      </x:c>
    </x:row>
    <x:row r="129" ht="15" hidden="0" customHeight="1">
      <x:c r="A129" s="34" t="str">
        <x:v>STU0012</x:v>
      </x:c>
      <x:c r="B129" s="35" t="str">
        <x:v>CSE2ALG - Central examination</x:v>
      </x:c>
      <x:c r="C129" s="35" t="n">
        <x:v>71</x:v>
      </x:c>
      <x:c r="D129"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129"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29" s="35" t="n">
        <x:v>0.5</x:v>
      </x:c>
      <x:c r="G129" s="37" t="n">
        <x:f>C129*F129</x:f>
        <x:v>35.5</x:v>
      </x:c>
    </x:row>
    <x:row r="130" ht="15" hidden="0" customHeight="1">
      <x:c r="A130" s="34" t="str">
        <x:v>STU0012</x:v>
      </x:c>
      <x:c r="B130" s="35" t="str">
        <x:v>CSE3CAP - Oral presentation: Project Milestone Presentation</x:v>
      </x:c>
      <x:c r="C130" s="35" t="n">
        <x:v>65</x:v>
      </x:c>
      <x:c r="D130"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130" s="36" t="str">
        <x:v>SILO3: reporting project outcomes to technical and non-technical audiences and reflecting on feedback</x:v>
      </x:c>
      <x:c r="F130" s="35" t="n">
        <x:v>0.1</x:v>
      </x:c>
      <x:c r="G130" s="37" t="n">
        <x:f>C130*F130</x:f>
        <x:v>6.5</x:v>
      </x:c>
    </x:row>
    <x:row r="131" ht="15" hidden="0" customHeight="1">
      <x:c r="A131" s="34" t="str">
        <x:v>STU0012</x:v>
      </x:c>
      <x:c r="B131" s="35" t="str">
        <x:v>CSE3CAP - Oral presentation: Final Project Presentation</x:v>
      </x:c>
      <x:c r="C131" s="35" t="n">
        <x:v>61</x:v>
      </x:c>
      <x:c r="D131"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31" s="36" t="str">
        <x:v>SILO3: reporting project outcomes to technical and non-technical audiences and reflecting on feedback</x:v>
      </x:c>
      <x:c r="F131" s="35" t="n">
        <x:v>0.2</x:v>
      </x:c>
      <x:c r="G131" s="37" t="n">
        <x:f>C131*F131</x:f>
        <x:v>12.200000000000001</x:v>
      </x:c>
    </x:row>
    <x:row r="132" ht="15" hidden="0" customHeight="1">
      <x:c r="A132" s="34" t="str">
        <x:v>STU0012</x:v>
      </x:c>
      <x:c r="B132" s="35" t="str">
        <x:v>CSE3CAP - Assignment: Final written Project Report</x:v>
      </x:c>
      <x:c r="C132" s="35" t="n">
        <x:v>62</x:v>
      </x:c>
      <x:c r="D132"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132" s="36" t="str">
        <x:v>SILO2: industry standard technical solutions in software or cybersecurity practice; SILO4: professional system documentation and advanced technical reporting to industry standards</x:v>
      </x:c>
      <x:c r="F132" s="35" t="n">
        <x:v>0.35</x:v>
      </x:c>
      <x:c r="G132" s="37" t="n">
        <x:f>C132*F132</x:f>
        <x:v>21.7</x:v>
      </x:c>
    </x:row>
    <x:row r="133" ht="15" hidden="0" customHeight="1">
      <x:c r="A133" s="34" t="str">
        <x:v>STU0012</x:v>
      </x:c>
      <x:c r="B133" s="35" t="str">
        <x:v>CSE3CAP - Assignment: Sprint Project management reports</x:v>
      </x:c>
      <x:c r="C133" s="35" t="n">
        <x:v>61</x:v>
      </x:c>
      <x:c r="D133"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133" s="36" t="str">
        <x:v>SILO1: advanced project management during substantive development implementation; SILO2: industry standard technical solutions in software or cybersecurity practice</x:v>
      </x:c>
      <x:c r="F133" s="35" t="n">
        <x:v>0.35</x:v>
      </x:c>
      <x:c r="G133" s="37" t="n">
        <x:f>C133*F133</x:f>
        <x:v>21.349999999999998</x:v>
      </x:c>
    </x:row>
    <x:row r="134" ht="15" hidden="0" customHeight="1">
      <x:c r="A134" s="34" t="str">
        <x:v>STU0013</x:v>
      </x:c>
      <x:c r="B134" s="35" t="str">
        <x:v>CSE1OOF - Test</x:v>
      </x:c>
      <x:c r="C134" s="35" t="n">
        <x:v>65</x:v>
      </x:c>
      <x:c r="D134"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134" s="36" t="str">
        <x:v>SILO1: analysis/design/implementation compared with object-oriented modelling using objects that combine data structure and behaviour; SILO2: abstract data types and encapsulation to localise and minimise change</x:v>
      </x:c>
      <x:c r="F134" s="35" t="n">
        <x:v>0.15</x:v>
      </x:c>
      <x:c r="G134" s="37" t="n">
        <x:f>C134*F134</x:f>
        <x:v>9.75</x:v>
      </x:c>
    </x:row>
    <x:row r="135" ht="15" hidden="0" customHeight="1">
      <x:c r="A135" s="34" t="str">
        <x:v>STU0013</x:v>
      </x:c>
      <x:c r="B135" s="35" t="str">
        <x:v>CSE1OOF - Practical demonstration</x:v>
      </x:c>
      <x:c r="C135" s="35" t="n">
        <x:v>67</x:v>
      </x:c>
      <x:c r="D135"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35" s="36" t="str">
        <x:v>SILO2: abstract data types and encapsulation to localise and minimise change; SILO3: code sharing and reuse through object-oriented techniques to reduce development time; SILO4: object-oriented design and implementation of computer programs for real-life problems</x:v>
      </x:c>
      <x:c r="F135" s="35" t="n">
        <x:v>0.2</x:v>
      </x:c>
      <x:c r="G135" s="37" t="n">
        <x:f>C135*F135</x:f>
        <x:v>13.4</x:v>
      </x:c>
    </x:row>
    <x:row r="136" ht="15" hidden="0" customHeight="1">
      <x:c r="A136" s="34" t="str">
        <x:v>STU0013</x:v>
      </x:c>
      <x:c r="B136" s="35" t="str">
        <x:v>CSE1OOF - Assignment</x:v>
      </x:c>
      <x:c r="C136" s="35" t="n">
        <x:v>70</x:v>
      </x:c>
      <x:c r="D136"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36" s="36" t="str">
        <x:v>SILO2: abstract data types and encapsulation to localise and minimise change; SILO3: code sharing and reuse through object-oriented techniques to reduce development time; SILO4: object-oriented design and implementation of computer programs for real-life problems</x:v>
      </x:c>
      <x:c r="F136" s="35" t="n">
        <x:v>0.25</x:v>
      </x:c>
      <x:c r="G136" s="37" t="n">
        <x:f>C136*F136</x:f>
        <x:v>17.5</x:v>
      </x:c>
    </x:row>
    <x:row r="137" ht="15" hidden="0" customHeight="1">
      <x:c r="A137" s="34" t="str">
        <x:v>STU0013</x:v>
      </x:c>
      <x:c r="B137" s="35" t="str">
        <x:v>CSE1OOF - Central examination</x:v>
      </x:c>
      <x:c r="C137" s="35" t="n">
        <x:v>67</x:v>
      </x:c>
      <x:c r="D137"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137"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37" s="35" t="n">
        <x:v>0.4</x:v>
      </x:c>
      <x:c r="G137" s="37" t="n">
        <x:f>C137*F137</x:f>
        <x:v>26.8</x:v>
      </x:c>
    </x:row>
    <x:row r="138" ht="15" hidden="0" customHeight="1">
      <x:c r="A138" s="34" t="str">
        <x:v>STU0013</x:v>
      </x:c>
      <x:c r="B138" s="35" t="str">
        <x:v>CSE2ALG - Test</x:v>
      </x:c>
      <x:c r="C138" s="35" t="n">
        <x:v>59</x:v>
      </x:c>
      <x:c r="D138"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138" s="36" t="str">
        <x:v>SILO1: overall objectives of Algorithms and Data Structures; SILO2: identifying data structures and searching and sorting algorithms in computing contexts; SILO3: implementing data structures and searching and sorting algorithms in Java</x:v>
      </x:c>
      <x:c r="F138" s="35" t="n">
        <x:v>0.2</x:v>
      </x:c>
      <x:c r="G138" s="37" t="n">
        <x:f>C138*F138</x:f>
        <x:v>11.8</x:v>
      </x:c>
    </x:row>
    <x:row r="139" ht="15" hidden="0" customHeight="1">
      <x:c r="A139" s="34" t="str">
        <x:v>STU0013</x:v>
      </x:c>
      <x:c r="B139" s="35" t="str">
        <x:v>CSE2ALG - Assignment</x:v>
      </x:c>
      <x:c r="C139" s="35" t="n">
        <x:v>62</x:v>
      </x:c>
      <x:c r="D139"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139"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39" s="35" t="n">
        <x:v>0.3</x:v>
      </x:c>
      <x:c r="G139" s="37" t="n">
        <x:f>C139*F139</x:f>
        <x:v>18.599999999999998</x:v>
      </x:c>
    </x:row>
    <x:row r="140" ht="15" hidden="0" customHeight="1">
      <x:c r="A140" s="34" t="str">
        <x:v>STU0013</x:v>
      </x:c>
      <x:c r="B140" s="35" t="str">
        <x:v>CSE2ALG - Central examination</x:v>
      </x:c>
      <x:c r="C140" s="35" t="n">
        <x:v>63</x:v>
      </x:c>
      <x:c r="D140" s="36" t="str">
        <x:v>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x:v>
      </x:c>
      <x:c r="E140"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40" s="35" t="n">
        <x:v>0.5</x:v>
      </x:c>
      <x:c r="G140" s="37" t="n">
        <x:f>C140*F140</x:f>
        <x:v>31.5</x:v>
      </x:c>
    </x:row>
    <x:row r="141" ht="15" hidden="0" customHeight="1">
      <x:c r="A141" s="34" t="str">
        <x:v>STU0013</x:v>
      </x:c>
      <x:c r="B141" s="35" t="str">
        <x:v>CSE3CAP - Oral presentation: Project Milestone Presentation</x:v>
      </x:c>
      <x:c r="C141" s="35" t="n">
        <x:v>58</x:v>
      </x:c>
      <x:c r="D141"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41" s="36" t="str">
        <x:v>SILO3: reporting project outcomes to technical and non-technical audiences and reflecting on feedback</x:v>
      </x:c>
      <x:c r="F141" s="35" t="n">
        <x:v>0.1</x:v>
      </x:c>
      <x:c r="G141" s="37" t="n">
        <x:f>C141*F141</x:f>
        <x:v>5.800000000000001</x:v>
      </x:c>
    </x:row>
    <x:row r="142" ht="15" hidden="0" customHeight="1">
      <x:c r="A142" s="34" t="str">
        <x:v>STU0013</x:v>
      </x:c>
      <x:c r="B142" s="35" t="str">
        <x:v>CSE3CAP - Oral presentation: Final Project Presentation</x:v>
      </x:c>
      <x:c r="C142" s="35" t="n">
        <x:v>58</x:v>
      </x:c>
      <x:c r="D142"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42" s="36" t="str">
        <x:v>SILO3: reporting project outcomes to technical and non-technical audiences and reflecting on feedback</x:v>
      </x:c>
      <x:c r="F142" s="35" t="n">
        <x:v>0.2</x:v>
      </x:c>
      <x:c r="G142" s="37" t="n">
        <x:f>C142*F142</x:f>
        <x:v>11.600000000000001</x:v>
      </x:c>
    </x:row>
    <x:row r="143" ht="15" hidden="0" customHeight="1">
      <x:c r="A143" s="34" t="str">
        <x:v>STU0013</x:v>
      </x:c>
      <x:c r="B143" s="35" t="str">
        <x:v>CSE3CAP - Assignment: Final written Project Report</x:v>
      </x:c>
      <x:c r="C143" s="35" t="n">
        <x:v>58</x:v>
      </x:c>
      <x:c r="D143"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143" s="36" t="str">
        <x:v>SILO2: industry standard technical solutions in software or cybersecurity practice; SILO4: professional system documentation and advanced technical reporting to industry standards</x:v>
      </x:c>
      <x:c r="F143" s="35" t="n">
        <x:v>0.35</x:v>
      </x:c>
      <x:c r="G143" s="37" t="n">
        <x:f>C143*F143</x:f>
        <x:v>20.299999999999997</x:v>
      </x:c>
    </x:row>
    <x:row r="144" ht="15" hidden="0" customHeight="1">
      <x:c r="A144" s="34" t="str">
        <x:v>STU0013</x:v>
      </x:c>
      <x:c r="B144" s="35" t="str">
        <x:v>CSE3CAP - Assignment: Sprint Project management reports</x:v>
      </x:c>
      <x:c r="C144" s="35" t="n">
        <x:v>62</x:v>
      </x:c>
      <x:c r="D144"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144" s="36" t="str">
        <x:v>SILO1: advanced project management during substantive development implementation; SILO2: industry standard technical solutions in software or cybersecurity practice</x:v>
      </x:c>
      <x:c r="F144" s="35" t="n">
        <x:v>0.35</x:v>
      </x:c>
      <x:c r="G144" s="37" t="n">
        <x:f>C144*F144</x:f>
        <x:v>21.7</x:v>
      </x:c>
    </x:row>
    <x:row r="145" ht="15" hidden="0" customHeight="1">
      <x:c r="A145" s="34" t="str">
        <x:v>STU0014</x:v>
      </x:c>
      <x:c r="B145" s="35" t="str">
        <x:v>CSE1OOF - Test</x:v>
      </x:c>
      <x:c r="C145" s="35" t="n">
        <x:v>85</x:v>
      </x:c>
      <x:c r="D145" s="36" t="str">
        <x:v>This excellent result demonstrates confident and independent command of the relevant learning themes, particularly analysis/design/implementation compared with object-oriented modelling using objects that combine data structure and behaviour and abstract data types and encapsulation to localise and minimise change. The work is clear, accurate and well justified, with only minor opportunities to further polish explanation or evaluation.</x:v>
      </x:c>
      <x:c r="E145" s="36" t="str">
        <x:v>SILO1: analysis/design/implementation compared with object-oriented modelling using objects that combine data structure and behaviour; SILO2: abstract data types and encapsulation to localise and minimise change</x:v>
      </x:c>
      <x:c r="F145" s="35" t="n">
        <x:v>0.15</x:v>
      </x:c>
      <x:c r="G145" s="37" t="n">
        <x:f>C145*F145</x:f>
        <x:v>12.75</x:v>
      </x:c>
    </x:row>
    <x:row r="146" ht="15" hidden="0" customHeight="1">
      <x:c r="A146" s="34" t="str">
        <x:v>STU0014</x:v>
      </x:c>
      <x:c r="B146" s="35" t="str">
        <x:v>CSE1OOF - Practical demonstration</x:v>
      </x:c>
      <x:c r="C146" s="35" t="n">
        <x:v>85</x:v>
      </x:c>
      <x:c r="D146" s="36" t="str">
        <x:v>This excellent result demonstrates confident and independent command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work is clear, accurate and well justified, with only minor opportunities to further polish explanation or evaluation.</x:v>
      </x:c>
      <x:c r="E146" s="36" t="str">
        <x:v>SILO2: abstract data types and encapsulation to localise and minimise change; SILO3: code sharing and reuse through object-oriented techniques to reduce development time; SILO4: object-oriented design and implementation of computer programs for real-life problems</x:v>
      </x:c>
      <x:c r="F146" s="35" t="n">
        <x:v>0.2</x:v>
      </x:c>
      <x:c r="G146" s="37" t="n">
        <x:f>C146*F146</x:f>
        <x:v>17</x:v>
      </x:c>
    </x:row>
    <x:row r="147" ht="15" hidden="0" customHeight="1">
      <x:c r="A147" s="34" t="str">
        <x:v>STU0014</x:v>
      </x:c>
      <x:c r="B147" s="35" t="str">
        <x:v>CSE1OOF - Assignment</x:v>
      </x:c>
      <x:c r="C147" s="35" t="n">
        <x:v>87</x:v>
      </x:c>
      <x:c r="D147" s="36" t="str">
        <x:v>This excellent result demonstrates confident and independent command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work is clear, accurate and well justified, with only minor opportunities to further polish explanation or evaluation.</x:v>
      </x:c>
      <x:c r="E147" s="36" t="str">
        <x:v>SILO2: abstract data types and encapsulation to localise and minimise change; SILO3: code sharing and reuse through object-oriented techniques to reduce development time; SILO4: object-oriented design and implementation of computer programs for real-life problems</x:v>
      </x:c>
      <x:c r="F147" s="35" t="n">
        <x:v>0.25</x:v>
      </x:c>
      <x:c r="G147" s="37" t="n">
        <x:f>C147*F147</x:f>
        <x:v>21.75</x:v>
      </x:c>
    </x:row>
    <x:row r="148" ht="15" hidden="0" customHeight="1">
      <x:c r="A148" s="34" t="str">
        <x:v>STU0014</x:v>
      </x:c>
      <x:c r="B148" s="35" t="str">
        <x:v>CSE1OOF - Central examination</x:v>
      </x:c>
      <x:c r="C148" s="35" t="n">
        <x:v>85</x:v>
      </x:c>
      <x:c r="D148" s="36" t="str">
        <x:v>This excellent result demonstrates confident and independent command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The work is clear, accurate and well justified, with only minor opportunities to further polish explanation or evaluation.</x:v>
      </x:c>
      <x:c r="E148"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48" s="35" t="n">
        <x:v>0.4</x:v>
      </x:c>
      <x:c r="G148" s="37" t="n">
        <x:f>C148*F148</x:f>
        <x:v>34</x:v>
      </x:c>
    </x:row>
    <x:row r="149" ht="15" hidden="0" customHeight="1">
      <x:c r="A149" s="34" t="str">
        <x:v>STU0014</x:v>
      </x:c>
      <x:c r="B149" s="35" t="str">
        <x:v>CSE2ALG - Test</x:v>
      </x:c>
      <x:c r="C149" s="35" t="n">
        <x:v>79</x:v>
      </x:c>
      <x:c r="D149" s="36" t="str">
        <x:v>This strong result shows well-developed understanding of the relevant learning themes, particularly overall objectives of Algorithms and Data Structures, identifying data structures and searching and sorting algorithms in computing contexts, and implementing data structures and searching and sorting algorithms in Java. Further improvement would come from deeper justification, more consistent evaluation evidence and tighter links between decisions and implementation details.</x:v>
      </x:c>
      <x:c r="E149" s="36" t="str">
        <x:v>SILO1: overall objectives of Algorithms and Data Structures; SILO2: identifying data structures and searching and sorting algorithms in computing contexts; SILO3: implementing data structures and searching and sorting algorithms in Java</x:v>
      </x:c>
      <x:c r="F149" s="35" t="n">
        <x:v>0.2</x:v>
      </x:c>
      <x:c r="G149" s="37" t="n">
        <x:f>C149*F149</x:f>
        <x:v>15.8</x:v>
      </x:c>
    </x:row>
    <x:row r="150" ht="15" hidden="0" customHeight="1">
      <x:c r="A150" s="34" t="str">
        <x:v>STU0014</x:v>
      </x:c>
      <x:c r="B150" s="35" t="str">
        <x:v>CSE2ALG - Assignment</x:v>
      </x:c>
      <x:c r="C150" s="35" t="n">
        <x:v>77</x:v>
      </x:c>
      <x:c r="D150" s="36" t="str">
        <x:v>This strong result shows well-developed understanding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Further improvement would come from deeper justification, more consistent evaluation evidence and tighter links between decisions and implementation details.</x:v>
      </x:c>
      <x:c r="E150"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50" s="35" t="n">
        <x:v>0.3</x:v>
      </x:c>
      <x:c r="G150" s="37" t="n">
        <x:f>C150*F150</x:f>
        <x:v>23.099999999999998</x:v>
      </x:c>
    </x:row>
    <x:row r="151" ht="15" hidden="0" customHeight="1">
      <x:c r="A151" s="34" t="str">
        <x:v>STU0014</x:v>
      </x:c>
      <x:c r="B151" s="35" t="str">
        <x:v>CSE2ALG - Central examination</x:v>
      </x:c>
      <x:c r="C151" s="35" t="n">
        <x:v>77</x:v>
      </x:c>
      <x:c r="D151" s="36" t="str">
        <x:v>This strong result shows well-developed understanding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Further improvement would come from deeper justification, more consistent evaluation evidence and tighter links between decisions and implementation details.</x:v>
      </x:c>
      <x:c r="E151"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51" s="35" t="n">
        <x:v>0.5</x:v>
      </x:c>
      <x:c r="G151" s="37" t="n">
        <x:f>C151*F151</x:f>
        <x:v>38.5</x:v>
      </x:c>
    </x:row>
    <x:row r="152" ht="15" hidden="0" customHeight="1">
      <x:c r="A152" s="34" t="str">
        <x:v>STU0014</x:v>
      </x:c>
      <x:c r="B152" s="35" t="str">
        <x:v>CSE3CAP - Oral presentation: Project Milestone Presentation</x:v>
      </x:c>
      <x:c r="C152" s="35" t="n">
        <x:v>77</x:v>
      </x:c>
      <x:c r="D152"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152" s="36" t="str">
        <x:v>SILO3: reporting project outcomes to technical and non-technical audiences and reflecting on feedback</x:v>
      </x:c>
      <x:c r="F152" s="35" t="n">
        <x:v>0.1</x:v>
      </x:c>
      <x:c r="G152" s="37" t="n">
        <x:f>C152*F152</x:f>
        <x:v>7.7</x:v>
      </x:c>
    </x:row>
    <x:row r="153" ht="15" hidden="0" customHeight="1">
      <x:c r="A153" s="34" t="str">
        <x:v>STU0014</x:v>
      </x:c>
      <x:c r="B153" s="35" t="str">
        <x:v>CSE3CAP - Oral presentation: Final Project Presentation</x:v>
      </x:c>
      <x:c r="C153" s="35" t="n">
        <x:v>79</x:v>
      </x:c>
      <x:c r="D153"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153" s="36" t="str">
        <x:v>SILO3: reporting project outcomes to technical and non-technical audiences and reflecting on feedback</x:v>
      </x:c>
      <x:c r="F153" s="35" t="n">
        <x:v>0.2</x:v>
      </x:c>
      <x:c r="G153" s="37" t="n">
        <x:f>C153*F153</x:f>
        <x:v>15.8</x:v>
      </x:c>
    </x:row>
    <x:row r="154" ht="15" hidden="0" customHeight="1">
      <x:c r="A154" s="34" t="str">
        <x:v>STU0014</x:v>
      </x:c>
      <x:c r="B154" s="35" t="str">
        <x:v>CSE3CAP - Assignment: Final written Project Report</x:v>
      </x:c>
      <x:c r="C154" s="35" t="n">
        <x:v>82</x:v>
      </x:c>
      <x:c r="D154" s="36" t="str">
        <x:v>This strong result shows well-developed understanding of the relevant learning themes, particularly industry standard technical solutions in software or cybersecurity practice and professional system documentation and advanced technical reporting to industry standards. Further improvement would come from deeper justification, more consistent evaluation evidence and tighter links between decisions and implementation details.</x:v>
      </x:c>
      <x:c r="E154" s="36" t="str">
        <x:v>SILO2: industry standard technical solutions in software or cybersecurity practice; SILO4: professional system documentation and advanced technical reporting to industry standards</x:v>
      </x:c>
      <x:c r="F154" s="35" t="n">
        <x:v>0.35</x:v>
      </x:c>
      <x:c r="G154" s="37" t="n">
        <x:f>C154*F154</x:f>
        <x:v>28.7</x:v>
      </x:c>
    </x:row>
    <x:row r="155" ht="15" hidden="0" customHeight="1">
      <x:c r="A155" s="34" t="str">
        <x:v>STU0014</x:v>
      </x:c>
      <x:c r="B155" s="35" t="str">
        <x:v>CSE3CAP - Assignment: Sprint Project management reports</x:v>
      </x:c>
      <x:c r="C155" s="35" t="n">
        <x:v>79</x:v>
      </x:c>
      <x:c r="D155" s="36" t="str">
        <x:v>This strong result shows well-developed understanding of the relevant learning themes, particularly advanced project management during substantive development implementation and industry standard technical solutions in software or cybersecurity practice. Further improvement would come from deeper justification, more consistent evaluation evidence and tighter links between decisions and implementation details.</x:v>
      </x:c>
      <x:c r="E155" s="36" t="str">
        <x:v>SILO1: advanced project management during substantive development implementation; SILO2: industry standard technical solutions in software or cybersecurity practice</x:v>
      </x:c>
      <x:c r="F155" s="35" t="n">
        <x:v>0.35</x:v>
      </x:c>
      <x:c r="G155" s="37" t="n">
        <x:f>C155*F155</x:f>
        <x:v>27.65</x:v>
      </x:c>
    </x:row>
    <x:row r="156" ht="15" hidden="0" customHeight="1">
      <x:c r="A156" s="34" t="str">
        <x:v>STU0015</x:v>
      </x:c>
      <x:c r="B156" s="35" t="str">
        <x:v>CSE1OOF - Test</x:v>
      </x:c>
      <x:c r="C156" s="35" t="n">
        <x:v>51</x:v>
      </x:c>
      <x:c r="D156"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156" s="36" t="str">
        <x:v>SILO1: analysis/design/implementation compared with object-oriented modelling using objects that combine data structure and behaviour; SILO2: abstract data types and encapsulation to localise and minimise change</x:v>
      </x:c>
      <x:c r="F156" s="35" t="n">
        <x:v>0.15</x:v>
      </x:c>
      <x:c r="G156" s="37" t="n">
        <x:f>C156*F156</x:f>
        <x:v>7.6499999999999995</x:v>
      </x:c>
    </x:row>
    <x:row r="157" ht="15" hidden="0" customHeight="1">
      <x:c r="A157" s="34" t="str">
        <x:v>STU0015</x:v>
      </x:c>
      <x:c r="B157" s="35" t="str">
        <x:v>CSE1OOF - Practical demonstration</x:v>
      </x:c>
      <x:c r="C157" s="35" t="n">
        <x:v>56</x:v>
      </x:c>
      <x:c r="D157"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57" s="36" t="str">
        <x:v>SILO2: abstract data types and encapsulation to localise and minimise change; SILO3: code sharing and reuse through object-oriented techniques to reduce development time; SILO4: object-oriented design and implementation of computer programs for real-life problems</x:v>
      </x:c>
      <x:c r="F157" s="35" t="n">
        <x:v>0.2</x:v>
      </x:c>
      <x:c r="G157" s="37" t="n">
        <x:f>C157*F157</x:f>
        <x:v>11.200000000000001</x:v>
      </x:c>
    </x:row>
    <x:row r="158" ht="15" hidden="0" customHeight="1">
      <x:c r="A158" s="34" t="str">
        <x:v>STU0015</x:v>
      </x:c>
      <x:c r="B158" s="35" t="str">
        <x:v>CSE1OOF - Assignment</x:v>
      </x:c>
      <x:c r="C158" s="35" t="n">
        <x:v>52</x:v>
      </x:c>
      <x:c r="D158"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58" s="36" t="str">
        <x:v>SILO2: abstract data types and encapsulation to localise and minimise change; SILO3: code sharing and reuse through object-oriented techniques to reduce development time; SILO4: object-oriented design and implementation of computer programs for real-life problems</x:v>
      </x:c>
      <x:c r="F158" s="35" t="n">
        <x:v>0.25</x:v>
      </x:c>
      <x:c r="G158" s="37" t="n">
        <x:f>C158*F158</x:f>
        <x:v>13</x:v>
      </x:c>
    </x:row>
    <x:row r="159" ht="15" hidden="0" customHeight="1">
      <x:c r="A159" s="34" t="str">
        <x:v>STU0015</x:v>
      </x:c>
      <x:c r="B159" s="35" t="str">
        <x:v>CSE1OOF - Central examination</x:v>
      </x:c>
      <x:c r="C159" s="35" t="n">
        <x:v>51</x:v>
      </x:c>
      <x:c r="D159" s="36" t="str">
        <x:v>This developing result meets the core requirements but needs greater consistency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Future work should focus on consolidating the underlying concepts, applying them more consistently and explaining design or implementation decisions with stronger evidence.</x:v>
      </x:c>
      <x:c r="E159"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59" s="35" t="n">
        <x:v>0.4</x:v>
      </x:c>
      <x:c r="G159" s="37" t="n">
        <x:f>C159*F159</x:f>
        <x:v>20.400000000000002</x:v>
      </x:c>
    </x:row>
    <x:row r="160" ht="15" hidden="0" customHeight="1">
      <x:c r="A160" s="34" t="str">
        <x:v>STU0015</x:v>
      </x:c>
      <x:c r="B160" s="35" t="str">
        <x:v>CSE2ALG - Test</x:v>
      </x:c>
      <x:c r="C160" s="35" t="n">
        <x:v>59</x:v>
      </x:c>
      <x:c r="D160"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160" s="36" t="str">
        <x:v>SILO1: overall objectives of Algorithms and Data Structures; SILO2: identifying data structures and searching and sorting algorithms in computing contexts; SILO3: implementing data structures and searching and sorting algorithms in Java</x:v>
      </x:c>
      <x:c r="F160" s="35" t="n">
        <x:v>0.2</x:v>
      </x:c>
      <x:c r="G160" s="37" t="n">
        <x:f>C160*F160</x:f>
        <x:v>11.8</x:v>
      </x:c>
    </x:row>
    <x:row r="161" ht="15" hidden="0" customHeight="1">
      <x:c r="A161" s="34" t="str">
        <x:v>STU0015</x:v>
      </x:c>
      <x:c r="B161" s="35" t="str">
        <x:v>CSE2ALG - Assignment</x:v>
      </x:c>
      <x:c r="C161" s="35" t="n">
        <x:v>58</x:v>
      </x:c>
      <x:c r="D161"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161"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61" s="35" t="n">
        <x:v>0.3</x:v>
      </x:c>
      <x:c r="G161" s="37" t="n">
        <x:f>C161*F161</x:f>
        <x:v>17.4</x:v>
      </x:c>
    </x:row>
    <x:row r="162" ht="15" hidden="0" customHeight="1">
      <x:c r="A162" s="34" t="str">
        <x:v>STU0015</x:v>
      </x:c>
      <x:c r="B162" s="35" t="str">
        <x:v>CSE2ALG - Central examination</x:v>
      </x:c>
      <x:c r="C162" s="35" t="n">
        <x:v>56</x:v>
      </x:c>
      <x:c r="D162" s="36" t="str">
        <x:v>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x:v>
      </x:c>
      <x:c r="E162"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62" s="35" t="n">
        <x:v>0.5</x:v>
      </x:c>
      <x:c r="G162" s="37" t="n">
        <x:f>C162*F162</x:f>
        <x:v>28</x:v>
      </x:c>
    </x:row>
    <x:row r="163" ht="15" hidden="0" customHeight="1">
      <x:c r="A163" s="34" t="str">
        <x:v>STU0015</x:v>
      </x:c>
      <x:c r="B163" s="35" t="str">
        <x:v>CSE3CAP - Oral presentation: Project Milestone Presentation</x:v>
      </x:c>
      <x:c r="C163" s="35" t="n">
        <x:v>57</x:v>
      </x:c>
      <x:c r="D163"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63" s="36" t="str">
        <x:v>SILO3: reporting project outcomes to technical and non-technical audiences and reflecting on feedback</x:v>
      </x:c>
      <x:c r="F163" s="35" t="n">
        <x:v>0.1</x:v>
      </x:c>
      <x:c r="G163" s="37" t="n">
        <x:f>C163*F163</x:f>
        <x:v>5.7</x:v>
      </x:c>
    </x:row>
    <x:row r="164" ht="15" hidden="0" customHeight="1">
      <x:c r="A164" s="34" t="str">
        <x:v>STU0015</x:v>
      </x:c>
      <x:c r="B164" s="35" t="str">
        <x:v>CSE3CAP - Oral presentation: Final Project Presentation</x:v>
      </x:c>
      <x:c r="C164" s="35" t="n">
        <x:v>54</x:v>
      </x:c>
      <x:c r="D164"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64" s="36" t="str">
        <x:v>SILO3: reporting project outcomes to technical and non-technical audiences and reflecting on feedback</x:v>
      </x:c>
      <x:c r="F164" s="35" t="n">
        <x:v>0.2</x:v>
      </x:c>
      <x:c r="G164" s="37" t="n">
        <x:f>C164*F164</x:f>
        <x:v>10.8</x:v>
      </x:c>
    </x:row>
    <x:row r="165" ht="15" hidden="0" customHeight="1">
      <x:c r="A165" s="34" t="str">
        <x:v>STU0015</x:v>
      </x:c>
      <x:c r="B165" s="35" t="str">
        <x:v>CSE3CAP - Assignment: Final written Project Report</x:v>
      </x:c>
      <x:c r="C165" s="35" t="n">
        <x:v>54</x:v>
      </x:c>
      <x:c r="D165"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165" s="36" t="str">
        <x:v>SILO2: industry standard technical solutions in software or cybersecurity practice; SILO4: professional system documentation and advanced technical reporting to industry standards</x:v>
      </x:c>
      <x:c r="F165" s="35" t="n">
        <x:v>0.35</x:v>
      </x:c>
      <x:c r="G165" s="37" t="n">
        <x:f>C165*F165</x:f>
        <x:v>18.9</x:v>
      </x:c>
    </x:row>
    <x:row r="166" ht="15" hidden="0" customHeight="1">
      <x:c r="A166" s="34" t="str">
        <x:v>STU0015</x:v>
      </x:c>
      <x:c r="B166" s="35" t="str">
        <x:v>CSE3CAP - Assignment: Sprint Project management reports</x:v>
      </x:c>
      <x:c r="C166" s="35" t="n">
        <x:v>55</x:v>
      </x:c>
      <x:c r="D166"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166" s="36" t="str">
        <x:v>SILO1: advanced project management during substantive development implementation; SILO2: industry standard technical solutions in software or cybersecurity practice</x:v>
      </x:c>
      <x:c r="F166" s="35" t="n">
        <x:v>0.35</x:v>
      </x:c>
      <x:c r="G166" s="37" t="n">
        <x:f>C166*F166</x:f>
        <x:v>19.25</x:v>
      </x:c>
    </x:row>
    <x:row r="167" ht="15" hidden="0" customHeight="1">
      <x:c r="A167" s="34" t="str">
        <x:v>STU0016</x:v>
      </x:c>
      <x:c r="B167" s="35" t="str">
        <x:v>CSE1OOF - Test</x:v>
      </x:c>
      <x:c r="C167" s="35" t="n">
        <x:v>63</x:v>
      </x:c>
      <x:c r="D167"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167" s="36" t="str">
        <x:v>SILO1: analysis/design/implementation compared with object-oriented modelling using objects that combine data structure and behaviour; SILO2: abstract data types and encapsulation to localise and minimise change</x:v>
      </x:c>
      <x:c r="F167" s="35" t="n">
        <x:v>0.15</x:v>
      </x:c>
      <x:c r="G167" s="37" t="n">
        <x:f>C167*F167</x:f>
        <x:v>9.45</x:v>
      </x:c>
    </x:row>
    <x:row r="168" ht="15" hidden="0" customHeight="1">
      <x:c r="A168" s="34" t="str">
        <x:v>STU0016</x:v>
      </x:c>
      <x:c r="B168" s="35" t="str">
        <x:v>CSE1OOF - Practical demonstration</x:v>
      </x:c>
      <x:c r="C168" s="35" t="n">
        <x:v>63</x:v>
      </x:c>
      <x:c r="D168"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68" s="36" t="str">
        <x:v>SILO2: abstract data types and encapsulation to localise and minimise change; SILO3: code sharing and reuse through object-oriented techniques to reduce development time; SILO4: object-oriented design and implementation of computer programs for real-life problems</x:v>
      </x:c>
      <x:c r="F168" s="35" t="n">
        <x:v>0.2</x:v>
      </x:c>
      <x:c r="G168" s="37" t="n">
        <x:f>C168*F168</x:f>
        <x:v>12.600000000000001</x:v>
      </x:c>
    </x:row>
    <x:row r="169" ht="15" hidden="0" customHeight="1">
      <x:c r="A169" s="34" t="str">
        <x:v>STU0016</x:v>
      </x:c>
      <x:c r="B169" s="35" t="str">
        <x:v>CSE1OOF - Assignment</x:v>
      </x:c>
      <x:c r="C169" s="35" t="n">
        <x:v>65</x:v>
      </x:c>
      <x:c r="D169"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69" s="36" t="str">
        <x:v>SILO2: abstract data types and encapsulation to localise and minimise change; SILO3: code sharing and reuse through object-oriented techniques to reduce development time; SILO4: object-oriented design and implementation of computer programs for real-life problems</x:v>
      </x:c>
      <x:c r="F169" s="35" t="n">
        <x:v>0.25</x:v>
      </x:c>
      <x:c r="G169" s="37" t="n">
        <x:f>C169*F169</x:f>
        <x:v>16.25</x:v>
      </x:c>
    </x:row>
    <x:row r="170" ht="15" hidden="0" customHeight="1">
      <x:c r="A170" s="34" t="str">
        <x:v>STU0016</x:v>
      </x:c>
      <x:c r="B170" s="35" t="str">
        <x:v>CSE1OOF - Central examination</x:v>
      </x:c>
      <x:c r="C170" s="35" t="n">
        <x:v>62</x:v>
      </x:c>
      <x:c r="D170" s="36" t="str">
        <x:v>This developing result meets the core requirements but needs greater consistency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Future work should focus on consolidating the underlying concepts, applying them more consistently and explaining design or implementation decisions with stronger evidence.</x:v>
      </x:c>
      <x:c r="E170"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70" s="35" t="n">
        <x:v>0.4</x:v>
      </x:c>
      <x:c r="G170" s="37" t="n">
        <x:f>C170*F170</x:f>
        <x:v>24.8</x:v>
      </x:c>
    </x:row>
    <x:row r="171" ht="15" hidden="0" customHeight="1">
      <x:c r="A171" s="34" t="str">
        <x:v>STU0016</x:v>
      </x:c>
      <x:c r="B171" s="35" t="str">
        <x:v>CSE2ALG - Test</x:v>
      </x:c>
      <x:c r="C171" s="35" t="n">
        <x:v>67</x:v>
      </x:c>
      <x:c r="D171"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171" s="36" t="str">
        <x:v>SILO1: overall objectives of Algorithms and Data Structures; SILO2: identifying data structures and searching and sorting algorithms in computing contexts; SILO3: implementing data structures and searching and sorting algorithms in Java</x:v>
      </x:c>
      <x:c r="F171" s="35" t="n">
        <x:v>0.2</x:v>
      </x:c>
      <x:c r="G171" s="37" t="n">
        <x:f>C171*F171</x:f>
        <x:v>13.4</x:v>
      </x:c>
    </x:row>
    <x:row r="172" ht="15" hidden="0" customHeight="1">
      <x:c r="A172" s="34" t="str">
        <x:v>STU0016</x:v>
      </x:c>
      <x:c r="B172" s="35" t="str">
        <x:v>CSE2ALG - Assignment</x:v>
      </x:c>
      <x:c r="C172" s="35" t="n">
        <x:v>64</x:v>
      </x:c>
      <x:c r="D172"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172"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72" s="35" t="n">
        <x:v>0.3</x:v>
      </x:c>
      <x:c r="G172" s="37" t="n">
        <x:f>C172*F172</x:f>
        <x:v>19.2</x:v>
      </x:c>
    </x:row>
    <x:row r="173" ht="15" hidden="0" customHeight="1">
      <x:c r="A173" s="34" t="str">
        <x:v>STU0016</x:v>
      </x:c>
      <x:c r="B173" s="35" t="str">
        <x:v>CSE2ALG - Central examination</x:v>
      </x:c>
      <x:c r="C173" s="35" t="n">
        <x:v>68</x:v>
      </x:c>
      <x:c r="D173"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173"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73" s="35" t="n">
        <x:v>0.5</x:v>
      </x:c>
      <x:c r="G173" s="37" t="n">
        <x:f>C173*F173</x:f>
        <x:v>34</x:v>
      </x:c>
    </x:row>
    <x:row r="174" ht="15" hidden="0" customHeight="1">
      <x:c r="A174" s="34" t="str">
        <x:v>STU0016</x:v>
      </x:c>
      <x:c r="B174" s="35" t="str">
        <x:v>CSE3CAP - Oral presentation: Project Milestone Presentation</x:v>
      </x:c>
      <x:c r="C174" s="35" t="n">
        <x:v>61</x:v>
      </x:c>
      <x:c r="D174"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74" s="36" t="str">
        <x:v>SILO3: reporting project outcomes to technical and non-technical audiences and reflecting on feedback</x:v>
      </x:c>
      <x:c r="F174" s="35" t="n">
        <x:v>0.1</x:v>
      </x:c>
      <x:c r="G174" s="37" t="n">
        <x:f>C174*F174</x:f>
        <x:v>6.1000000000000005</x:v>
      </x:c>
    </x:row>
    <x:row r="175" ht="15" hidden="0" customHeight="1">
      <x:c r="A175" s="34" t="str">
        <x:v>STU0016</x:v>
      </x:c>
      <x:c r="B175" s="35" t="str">
        <x:v>CSE3CAP - Oral presentation: Final Project Presentation</x:v>
      </x:c>
      <x:c r="C175" s="35" t="n">
        <x:v>61</x:v>
      </x:c>
      <x:c r="D175"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75" s="36" t="str">
        <x:v>SILO3: reporting project outcomes to technical and non-technical audiences and reflecting on feedback</x:v>
      </x:c>
      <x:c r="F175" s="35" t="n">
        <x:v>0.2</x:v>
      </x:c>
      <x:c r="G175" s="37" t="n">
        <x:f>C175*F175</x:f>
        <x:v>12.200000000000001</x:v>
      </x:c>
    </x:row>
    <x:row r="176" ht="15" hidden="0" customHeight="1">
      <x:c r="A176" s="34" t="str">
        <x:v>STU0016</x:v>
      </x:c>
      <x:c r="B176" s="35" t="str">
        <x:v>CSE3CAP - Assignment: Final written Project Report</x:v>
      </x:c>
      <x:c r="C176" s="35" t="n">
        <x:v>60</x:v>
      </x:c>
      <x:c r="D176"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176" s="36" t="str">
        <x:v>SILO2: industry standard technical solutions in software or cybersecurity practice; SILO4: professional system documentation and advanced technical reporting to industry standards</x:v>
      </x:c>
      <x:c r="F176" s="35" t="n">
        <x:v>0.35</x:v>
      </x:c>
      <x:c r="G176" s="37" t="n">
        <x:f>C176*F176</x:f>
        <x:v>21</x:v>
      </x:c>
    </x:row>
    <x:row r="177" ht="15" hidden="0" customHeight="1">
      <x:c r="A177" s="34" t="str">
        <x:v>STU0016</x:v>
      </x:c>
      <x:c r="B177" s="35" t="str">
        <x:v>CSE3CAP - Assignment: Sprint Project management reports</x:v>
      </x:c>
      <x:c r="C177" s="35" t="n">
        <x:v>60</x:v>
      </x:c>
      <x:c r="D177"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177" s="36" t="str">
        <x:v>SILO1: advanced project management during substantive development implementation; SILO2: industry standard technical solutions in software or cybersecurity practice</x:v>
      </x:c>
      <x:c r="F177" s="35" t="n">
        <x:v>0.35</x:v>
      </x:c>
      <x:c r="G177" s="37" t="n">
        <x:f>C177*F177</x:f>
        <x:v>21</x:v>
      </x:c>
    </x:row>
    <x:row r="178" ht="15" hidden="0" customHeight="1">
      <x:c r="A178" s="34" t="str">
        <x:v>STU0017</x:v>
      </x:c>
      <x:c r="B178" s="35" t="str">
        <x:v>CSE1OOF - Test</x:v>
      </x:c>
      <x:c r="C178" s="35" t="n">
        <x:v>63</x:v>
      </x:c>
      <x:c r="D178"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178" s="36" t="str">
        <x:v>SILO1: analysis/design/implementation compared with object-oriented modelling using objects that combine data structure and behaviour; SILO2: abstract data types and encapsulation to localise and minimise change</x:v>
      </x:c>
      <x:c r="F178" s="35" t="n">
        <x:v>0.15</x:v>
      </x:c>
      <x:c r="G178" s="37" t="n">
        <x:f>C178*F178</x:f>
        <x:v>9.45</x:v>
      </x:c>
    </x:row>
    <x:row r="179" ht="15" hidden="0" customHeight="1">
      <x:c r="A179" s="34" t="str">
        <x:v>STU0017</x:v>
      </x:c>
      <x:c r="B179" s="35" t="str">
        <x:v>CSE1OOF - Practical demonstration</x:v>
      </x:c>
      <x:c r="C179" s="35" t="n">
        <x:v>67</x:v>
      </x:c>
      <x:c r="D179"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79" s="36" t="str">
        <x:v>SILO2: abstract data types and encapsulation to localise and minimise change; SILO3: code sharing and reuse through object-oriented techniques to reduce development time; SILO4: object-oriented design and implementation of computer programs for real-life problems</x:v>
      </x:c>
      <x:c r="F179" s="35" t="n">
        <x:v>0.2</x:v>
      </x:c>
      <x:c r="G179" s="37" t="n">
        <x:f>C179*F179</x:f>
        <x:v>13.4</x:v>
      </x:c>
    </x:row>
    <x:row r="180" ht="15" hidden="0" customHeight="1">
      <x:c r="A180" s="34" t="str">
        <x:v>STU0017</x:v>
      </x:c>
      <x:c r="B180" s="35" t="str">
        <x:v>CSE1OOF - Assignment</x:v>
      </x:c>
      <x:c r="C180" s="35" t="n">
        <x:v>66</x:v>
      </x:c>
      <x:c r="D180"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80" s="36" t="str">
        <x:v>SILO2: abstract data types and encapsulation to localise and minimise change; SILO3: code sharing and reuse through object-oriented techniques to reduce development time; SILO4: object-oriented design and implementation of computer programs for real-life problems</x:v>
      </x:c>
      <x:c r="F180" s="35" t="n">
        <x:v>0.25</x:v>
      </x:c>
      <x:c r="G180" s="37" t="n">
        <x:f>C180*F180</x:f>
        <x:v>16.5</x:v>
      </x:c>
    </x:row>
    <x:row r="181" ht="15" hidden="0" customHeight="1">
      <x:c r="A181" s="34" t="str">
        <x:v>STU0017</x:v>
      </x:c>
      <x:c r="B181" s="35" t="str">
        <x:v>CSE1OOF - Central examination</x:v>
      </x:c>
      <x:c r="C181" s="35" t="n">
        <x:v>67</x:v>
      </x:c>
      <x:c r="D181"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181"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81" s="35" t="n">
        <x:v>0.4</x:v>
      </x:c>
      <x:c r="G181" s="37" t="n">
        <x:f>C181*F181</x:f>
        <x:v>26.8</x:v>
      </x:c>
    </x:row>
    <x:row r="182" ht="15" hidden="0" customHeight="1">
      <x:c r="A182" s="34" t="str">
        <x:v>STU0017</x:v>
      </x:c>
      <x:c r="B182" s="35" t="str">
        <x:v>CSE2ALG - Test</x:v>
      </x:c>
      <x:c r="C182" s="35" t="n">
        <x:v>59</x:v>
      </x:c>
      <x:c r="D182"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182" s="36" t="str">
        <x:v>SILO1: overall objectives of Algorithms and Data Structures; SILO2: identifying data structures and searching and sorting algorithms in computing contexts; SILO3: implementing data structures and searching and sorting algorithms in Java</x:v>
      </x:c>
      <x:c r="F182" s="35" t="n">
        <x:v>0.2</x:v>
      </x:c>
      <x:c r="G182" s="37" t="n">
        <x:f>C182*F182</x:f>
        <x:v>11.8</x:v>
      </x:c>
    </x:row>
    <x:row r="183" ht="15" hidden="0" customHeight="1">
      <x:c r="A183" s="34" t="str">
        <x:v>STU0017</x:v>
      </x:c>
      <x:c r="B183" s="35" t="str">
        <x:v>CSE2ALG - Assignment</x:v>
      </x:c>
      <x:c r="C183" s="35" t="n">
        <x:v>61</x:v>
      </x:c>
      <x:c r="D183"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183"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83" s="35" t="n">
        <x:v>0.3</x:v>
      </x:c>
      <x:c r="G183" s="37" t="n">
        <x:f>C183*F183</x:f>
        <x:v>18.3</x:v>
      </x:c>
    </x:row>
    <x:row r="184" ht="15" hidden="0" customHeight="1">
      <x:c r="A184" s="34" t="str">
        <x:v>STU0017</x:v>
      </x:c>
      <x:c r="B184" s="35" t="str">
        <x:v>CSE2ALG - Central examination</x:v>
      </x:c>
      <x:c r="C184" s="35" t="n">
        <x:v>58</x:v>
      </x:c>
      <x:c r="D184" s="36" t="str">
        <x:v>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x:v>
      </x:c>
      <x:c r="E184"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84" s="35" t="n">
        <x:v>0.5</x:v>
      </x:c>
      <x:c r="G184" s="37" t="n">
        <x:f>C184*F184</x:f>
        <x:v>29</x:v>
      </x:c>
    </x:row>
    <x:row r="185" ht="15" hidden="0" customHeight="1">
      <x:c r="A185" s="34" t="str">
        <x:v>STU0017</x:v>
      </x:c>
      <x:c r="B185" s="35" t="str">
        <x:v>CSE3CAP - Oral presentation: Project Milestone Presentation</x:v>
      </x:c>
      <x:c r="C185" s="35" t="n">
        <x:v>59</x:v>
      </x:c>
      <x:c r="D185"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85" s="36" t="str">
        <x:v>SILO3: reporting project outcomes to technical and non-technical audiences and reflecting on feedback</x:v>
      </x:c>
      <x:c r="F185" s="35" t="n">
        <x:v>0.1</x:v>
      </x:c>
      <x:c r="G185" s="37" t="n">
        <x:f>C185*F185</x:f>
        <x:v>5.9</x:v>
      </x:c>
    </x:row>
    <x:row r="186" ht="15" hidden="0" customHeight="1">
      <x:c r="A186" s="34" t="str">
        <x:v>STU0017</x:v>
      </x:c>
      <x:c r="B186" s="35" t="str">
        <x:v>CSE3CAP - Oral presentation: Final Project Presentation</x:v>
      </x:c>
      <x:c r="C186" s="35" t="n">
        <x:v>58</x:v>
      </x:c>
      <x:c r="D186"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86" s="36" t="str">
        <x:v>SILO3: reporting project outcomes to technical and non-technical audiences and reflecting on feedback</x:v>
      </x:c>
      <x:c r="F186" s="35" t="n">
        <x:v>0.2</x:v>
      </x:c>
      <x:c r="G186" s="37" t="n">
        <x:f>C186*F186</x:f>
        <x:v>11.600000000000001</x:v>
      </x:c>
    </x:row>
    <x:row r="187" ht="15" hidden="0" customHeight="1">
      <x:c r="A187" s="34" t="str">
        <x:v>STU0017</x:v>
      </x:c>
      <x:c r="B187" s="35" t="str">
        <x:v>CSE3CAP - Assignment: Final written Project Report</x:v>
      </x:c>
      <x:c r="C187" s="35" t="n">
        <x:v>57</x:v>
      </x:c>
      <x:c r="D187"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187" s="36" t="str">
        <x:v>SILO2: industry standard technical solutions in software or cybersecurity practice; SILO4: professional system documentation and advanced technical reporting to industry standards</x:v>
      </x:c>
      <x:c r="F187" s="35" t="n">
        <x:v>0.35</x:v>
      </x:c>
      <x:c r="G187" s="37" t="n">
        <x:f>C187*F187</x:f>
        <x:v>19.95</x:v>
      </x:c>
    </x:row>
    <x:row r="188" ht="15" hidden="0" customHeight="1">
      <x:c r="A188" s="34" t="str">
        <x:v>STU0017</x:v>
      </x:c>
      <x:c r="B188" s="35" t="str">
        <x:v>CSE3CAP - Assignment: Sprint Project management reports</x:v>
      </x:c>
      <x:c r="C188" s="35" t="n">
        <x:v>62</x:v>
      </x:c>
      <x:c r="D188"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188" s="36" t="str">
        <x:v>SILO1: advanced project management during substantive development implementation; SILO2: industry standard technical solutions in software or cybersecurity practice</x:v>
      </x:c>
      <x:c r="F188" s="35" t="n">
        <x:v>0.35</x:v>
      </x:c>
      <x:c r="G188" s="37" t="n">
        <x:f>C188*F188</x:f>
        <x:v>21.7</x:v>
      </x:c>
    </x:row>
    <x:row r="189" ht="15" hidden="0" customHeight="1">
      <x:c r="A189" s="34" t="str">
        <x:v>STU0018</x:v>
      </x:c>
      <x:c r="B189" s="35" t="str">
        <x:v>CSE1OOF - Test</x:v>
      </x:c>
      <x:c r="C189" s="35" t="n">
        <x:v>59</x:v>
      </x:c>
      <x:c r="D189"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189" s="36" t="str">
        <x:v>SILO1: analysis/design/implementation compared with object-oriented modelling using objects that combine data structure and behaviour; SILO2: abstract data types and encapsulation to localise and minimise change</x:v>
      </x:c>
      <x:c r="F189" s="35" t="n">
        <x:v>0.15</x:v>
      </x:c>
      <x:c r="G189" s="37" t="n">
        <x:f>C189*F189</x:f>
        <x:v>8.85</x:v>
      </x:c>
    </x:row>
    <x:row r="190" ht="15" hidden="0" customHeight="1">
      <x:c r="A190" s="34" t="str">
        <x:v>STU0018</x:v>
      </x:c>
      <x:c r="B190" s="35" t="str">
        <x:v>CSE1OOF - Practical demonstration</x:v>
      </x:c>
      <x:c r="C190" s="35" t="n">
        <x:v>60</x:v>
      </x:c>
      <x:c r="D190"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90" s="36" t="str">
        <x:v>SILO2: abstract data types and encapsulation to localise and minimise change; SILO3: code sharing and reuse through object-oriented techniques to reduce development time; SILO4: object-oriented design and implementation of computer programs for real-life problems</x:v>
      </x:c>
      <x:c r="F190" s="35" t="n">
        <x:v>0.2</x:v>
      </x:c>
      <x:c r="G190" s="37" t="n">
        <x:f>C190*F190</x:f>
        <x:v>12</x:v>
      </x:c>
    </x:row>
    <x:row r="191" ht="15" hidden="0" customHeight="1">
      <x:c r="A191" s="34" t="str">
        <x:v>STU0018</x:v>
      </x:c>
      <x:c r="B191" s="35" t="str">
        <x:v>CSE1OOF - Assignment</x:v>
      </x:c>
      <x:c r="C191" s="35" t="n">
        <x:v>62</x:v>
      </x:c>
      <x:c r="D191"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91" s="36" t="str">
        <x:v>SILO2: abstract data types and encapsulation to localise and minimise change; SILO3: code sharing and reuse through object-oriented techniques to reduce development time; SILO4: object-oriented design and implementation of computer programs for real-life problems</x:v>
      </x:c>
      <x:c r="F191" s="35" t="n">
        <x:v>0.25</x:v>
      </x:c>
      <x:c r="G191" s="37" t="n">
        <x:f>C191*F191</x:f>
        <x:v>15.5</x:v>
      </x:c>
    </x:row>
    <x:row r="192" ht="15" hidden="0" customHeight="1">
      <x:c r="A192" s="34" t="str">
        <x:v>STU0018</x:v>
      </x:c>
      <x:c r="B192" s="35" t="str">
        <x:v>CSE1OOF - Central examination</x:v>
      </x:c>
      <x:c r="C192" s="35" t="n">
        <x:v>63</x:v>
      </x:c>
      <x:c r="D192" s="36" t="str">
        <x:v>This developing result meets the core requirements but needs greater consistency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Future work should focus on consolidating the underlying concepts, applying them more consistently and explaining design or implementation decisions with stronger evidence.</x:v>
      </x:c>
      <x:c r="E192"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92" s="35" t="n">
        <x:v>0.4</x:v>
      </x:c>
      <x:c r="G192" s="37" t="n">
        <x:f>C192*F192</x:f>
        <x:v>25.200000000000003</x:v>
      </x:c>
    </x:row>
    <x:row r="193" ht="15" hidden="0" customHeight="1">
      <x:c r="A193" s="34" t="str">
        <x:v>STU0018</x:v>
      </x:c>
      <x:c r="B193" s="35" t="str">
        <x:v>CSE2ALG - Test</x:v>
      </x:c>
      <x:c r="C193" s="35" t="n">
        <x:v>58</x:v>
      </x:c>
      <x:c r="D193"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193" s="36" t="str">
        <x:v>SILO1: overall objectives of Algorithms and Data Structures; SILO2: identifying data structures and searching and sorting algorithms in computing contexts; SILO3: implementing data structures and searching and sorting algorithms in Java</x:v>
      </x:c>
      <x:c r="F193" s="35" t="n">
        <x:v>0.2</x:v>
      </x:c>
      <x:c r="G193" s="37" t="n">
        <x:f>C193*F193</x:f>
        <x:v>11.600000000000001</x:v>
      </x:c>
    </x:row>
    <x:row r="194" ht="15" hidden="0" customHeight="1">
      <x:c r="A194" s="34" t="str">
        <x:v>STU0018</x:v>
      </x:c>
      <x:c r="B194" s="35" t="str">
        <x:v>CSE2ALG - Assignment</x:v>
      </x:c>
      <x:c r="C194" s="35" t="n">
        <x:v>61</x:v>
      </x:c>
      <x:c r="D194"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194"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94" s="35" t="n">
        <x:v>0.3</x:v>
      </x:c>
      <x:c r="G194" s="37" t="n">
        <x:f>C194*F194</x:f>
        <x:v>18.3</x:v>
      </x:c>
    </x:row>
    <x:row r="195" ht="15" hidden="0" customHeight="1">
      <x:c r="A195" s="34" t="str">
        <x:v>STU0018</x:v>
      </x:c>
      <x:c r="B195" s="35" t="str">
        <x:v>CSE2ALG - Central examination</x:v>
      </x:c>
      <x:c r="C195" s="35" t="n">
        <x:v>59</x:v>
      </x:c>
      <x:c r="D195" s="36" t="str">
        <x:v>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x:v>
      </x:c>
      <x:c r="E195"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95" s="35" t="n">
        <x:v>0.5</x:v>
      </x:c>
      <x:c r="G195" s="37" t="n">
        <x:f>C195*F195</x:f>
        <x:v>29.5</x:v>
      </x:c>
    </x:row>
    <x:row r="196" ht="15" hidden="0" customHeight="1">
      <x:c r="A196" s="34" t="str">
        <x:v>STU0018</x:v>
      </x:c>
      <x:c r="B196" s="35" t="str">
        <x:v>CSE3CAP - Oral presentation: Project Milestone Presentation</x:v>
      </x:c>
      <x:c r="C196" s="35" t="n">
        <x:v>58</x:v>
      </x:c>
      <x:c r="D196"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96" s="36" t="str">
        <x:v>SILO3: reporting project outcomes to technical and non-technical audiences and reflecting on feedback</x:v>
      </x:c>
      <x:c r="F196" s="35" t="n">
        <x:v>0.1</x:v>
      </x:c>
      <x:c r="G196" s="37" t="n">
        <x:f>C196*F196</x:f>
        <x:v>5.800000000000001</x:v>
      </x:c>
    </x:row>
    <x:row r="197" ht="15" hidden="0" customHeight="1">
      <x:c r="A197" s="34" t="str">
        <x:v>STU0018</x:v>
      </x:c>
      <x:c r="B197" s="35" t="str">
        <x:v>CSE3CAP - Oral presentation: Final Project Presentation</x:v>
      </x:c>
      <x:c r="C197" s="35" t="n">
        <x:v>62</x:v>
      </x:c>
      <x:c r="D197"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97" s="36" t="str">
        <x:v>SILO3: reporting project outcomes to technical and non-technical audiences and reflecting on feedback</x:v>
      </x:c>
      <x:c r="F197" s="35" t="n">
        <x:v>0.2</x:v>
      </x:c>
      <x:c r="G197" s="37" t="n">
        <x:f>C197*F197</x:f>
        <x:v>12.4</x:v>
      </x:c>
    </x:row>
    <x:row r="198" ht="15" hidden="0" customHeight="1">
      <x:c r="A198" s="34" t="str">
        <x:v>STU0018</x:v>
      </x:c>
      <x:c r="B198" s="35" t="str">
        <x:v>CSE3CAP - Assignment: Final written Project Report</x:v>
      </x:c>
      <x:c r="C198" s="35" t="n">
        <x:v>61</x:v>
      </x:c>
      <x:c r="D198"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198" s="36" t="str">
        <x:v>SILO2: industry standard technical solutions in software or cybersecurity practice; SILO4: professional system documentation and advanced technical reporting to industry standards</x:v>
      </x:c>
      <x:c r="F198" s="35" t="n">
        <x:v>0.35</x:v>
      </x:c>
      <x:c r="G198" s="37" t="n">
        <x:f>C198*F198</x:f>
        <x:v>21.349999999999998</x:v>
      </x:c>
    </x:row>
    <x:row r="199" ht="15" hidden="0" customHeight="1">
      <x:c r="A199" s="34" t="str">
        <x:v>STU0018</x:v>
      </x:c>
      <x:c r="B199" s="35" t="str">
        <x:v>CSE3CAP - Assignment: Sprint Project management reports</x:v>
      </x:c>
      <x:c r="C199" s="35" t="n">
        <x:v>60</x:v>
      </x:c>
      <x:c r="D199"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199" s="36" t="str">
        <x:v>SILO1: advanced project management during substantive development implementation; SILO2: industry standard technical solutions in software or cybersecurity practice</x:v>
      </x:c>
      <x:c r="F199" s="35" t="n">
        <x:v>0.35</x:v>
      </x:c>
      <x:c r="G199" s="37" t="n">
        <x:f>C199*F199</x:f>
        <x:v>21</x:v>
      </x:c>
    </x:row>
    <x:row r="200" ht="15" hidden="0" customHeight="1">
      <x:c r="A200" s="34" t="str">
        <x:v>STU0019</x:v>
      </x:c>
      <x:c r="B200" s="35" t="str">
        <x:v>CSE1OOF - Test</x:v>
      </x:c>
      <x:c r="C200" s="35" t="n">
        <x:v>71</x:v>
      </x:c>
      <x:c r="D200"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200" s="36" t="str">
        <x:v>SILO1: analysis/design/implementation compared with object-oriented modelling using objects that combine data structure and behaviour; SILO2: abstract data types and encapsulation to localise and minimise change</x:v>
      </x:c>
      <x:c r="F200" s="35" t="n">
        <x:v>0.15</x:v>
      </x:c>
      <x:c r="G200" s="37" t="n">
        <x:f>C200*F200</x:f>
        <x:v>10.65</x:v>
      </x:c>
    </x:row>
    <x:row r="201" ht="15" hidden="0" customHeight="1">
      <x:c r="A201" s="34" t="str">
        <x:v>STU0019</x:v>
      </x:c>
      <x:c r="B201" s="35" t="str">
        <x:v>CSE1OOF - Practical demonstration</x:v>
      </x:c>
      <x:c r="C201" s="35" t="n">
        <x:v>70</x:v>
      </x:c>
      <x:c r="D201"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201" s="36" t="str">
        <x:v>SILO2: abstract data types and encapsulation to localise and minimise change; SILO3: code sharing and reuse through object-oriented techniques to reduce development time; SILO4: object-oriented design and implementation of computer programs for real-life problems</x:v>
      </x:c>
      <x:c r="F201" s="35" t="n">
        <x:v>0.2</x:v>
      </x:c>
      <x:c r="G201" s="37" t="n">
        <x:f>C201*F201</x:f>
        <x:v>14</x:v>
      </x:c>
    </x:row>
    <x:row r="202" ht="15" hidden="0" customHeight="1">
      <x:c r="A202" s="34" t="str">
        <x:v>STU0019</x:v>
      </x:c>
      <x:c r="B202" s="35" t="str">
        <x:v>CSE1OOF - Assignment</x:v>
      </x:c>
      <x:c r="C202" s="35" t="n">
        <x:v>72</x:v>
      </x:c>
      <x:c r="D202"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202" s="36" t="str">
        <x:v>SILO2: abstract data types and encapsulation to localise and minimise change; SILO3: code sharing and reuse through object-oriented techniques to reduce development time; SILO4: object-oriented design and implementation of computer programs for real-life problems</x:v>
      </x:c>
      <x:c r="F202" s="35" t="n">
        <x:v>0.25</x:v>
      </x:c>
      <x:c r="G202" s="37" t="n">
        <x:f>C202*F202</x:f>
        <x:v>18</x:v>
      </x:c>
    </x:row>
    <x:row r="203" ht="15" hidden="0" customHeight="1">
      <x:c r="A203" s="34" t="str">
        <x:v>STU0019</x:v>
      </x:c>
      <x:c r="B203" s="35" t="str">
        <x:v>CSE1OOF - Central examination</x:v>
      </x:c>
      <x:c r="C203" s="35" t="n">
        <x:v>70</x:v>
      </x:c>
      <x:c r="D203"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203"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203" s="35" t="n">
        <x:v>0.4</x:v>
      </x:c>
      <x:c r="G203" s="37" t="n">
        <x:f>C203*F203</x:f>
        <x:v>28</x:v>
      </x:c>
    </x:row>
    <x:row r="204" ht="15" hidden="0" customHeight="1">
      <x:c r="A204" s="34" t="str">
        <x:v>STU0019</x:v>
      </x:c>
      <x:c r="B204" s="35" t="str">
        <x:v>CSE2ALG - Test</x:v>
      </x:c>
      <x:c r="C204" s="35" t="n">
        <x:v>73</x:v>
      </x:c>
      <x:c r="D204"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204" s="36" t="str">
        <x:v>SILO1: overall objectives of Algorithms and Data Structures; SILO2: identifying data structures and searching and sorting algorithms in computing contexts; SILO3: implementing data structures and searching and sorting algorithms in Java</x:v>
      </x:c>
      <x:c r="F204" s="35" t="n">
        <x:v>0.2</x:v>
      </x:c>
      <x:c r="G204" s="37" t="n">
        <x:f>C204*F204</x:f>
        <x:v>14.600000000000001</x:v>
      </x:c>
    </x:row>
    <x:row r="205" ht="15" hidden="0" customHeight="1">
      <x:c r="A205" s="34" t="str">
        <x:v>STU0019</x:v>
      </x:c>
      <x:c r="B205" s="35" t="str">
        <x:v>CSE2ALG - Assignment</x:v>
      </x:c>
      <x:c r="C205" s="35" t="n">
        <x:v>71</x:v>
      </x:c>
      <x:c r="D205" s="36" t="str">
        <x:v>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x:v>
      </x:c>
      <x:c r="E205"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205" s="35" t="n">
        <x:v>0.3</x:v>
      </x:c>
      <x:c r="G205" s="37" t="n">
        <x:f>C205*F205</x:f>
        <x:v>21.3</x:v>
      </x:c>
    </x:row>
    <x:row r="206" ht="15" hidden="0" customHeight="1">
      <x:c r="A206" s="34" t="str">
        <x:v>STU0019</x:v>
      </x:c>
      <x:c r="B206" s="35" t="str">
        <x:v>CSE2ALG - Central examination</x:v>
      </x:c>
      <x:c r="C206" s="35" t="n">
        <x:v>67</x:v>
      </x:c>
      <x:c r="D206"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206"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206" s="35" t="n">
        <x:v>0.5</x:v>
      </x:c>
      <x:c r="G206" s="37" t="n">
        <x:f>C206*F206</x:f>
        <x:v>33.5</x:v>
      </x:c>
    </x:row>
    <x:row r="207" ht="15" hidden="0" customHeight="1">
      <x:c r="A207" s="34" t="str">
        <x:v>STU0019</x:v>
      </x:c>
      <x:c r="B207" s="35" t="str">
        <x:v>CSE3CAP - Oral presentation: Project Milestone Presentation</x:v>
      </x:c>
      <x:c r="C207" s="35" t="n">
        <x:v>68</x:v>
      </x:c>
      <x:c r="D207"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207" s="36" t="str">
        <x:v>SILO3: reporting project outcomes to technical and non-technical audiences and reflecting on feedback</x:v>
      </x:c>
      <x:c r="F207" s="35" t="n">
        <x:v>0.1</x:v>
      </x:c>
      <x:c r="G207" s="37" t="n">
        <x:f>C207*F207</x:f>
        <x:v>6.800000000000001</x:v>
      </x:c>
    </x:row>
    <x:row r="208" ht="15" hidden="0" customHeight="1">
      <x:c r="A208" s="34" t="str">
        <x:v>STU0019</x:v>
      </x:c>
      <x:c r="B208" s="35" t="str">
        <x:v>CSE3CAP - Oral presentation: Final Project Presentation</x:v>
      </x:c>
      <x:c r="C208" s="35" t="n">
        <x:v>69</x:v>
      </x:c>
      <x:c r="D208"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208" s="36" t="str">
        <x:v>SILO3: reporting project outcomes to technical and non-technical audiences and reflecting on feedback</x:v>
      </x:c>
      <x:c r="F208" s="35" t="n">
        <x:v>0.2</x:v>
      </x:c>
      <x:c r="G208" s="37" t="n">
        <x:f>C208*F208</x:f>
        <x:v>13.8</x:v>
      </x:c>
    </x:row>
    <x:row r="209" ht="15" hidden="0" customHeight="1">
      <x:c r="A209" s="34" t="str">
        <x:v>STU0019</x:v>
      </x:c>
      <x:c r="B209" s="35" t="str">
        <x:v>CSE3CAP - Assignment: Final written Project Report</x:v>
      </x:c>
      <x:c r="C209" s="35" t="n">
        <x:v>69</x:v>
      </x:c>
      <x:c r="D209" s="36" t="str">
        <x:v>This sound result shows a competent and generally reliable grasp of the relevant learning themes, particularly industry standard technical solutions in software or cybersecurity practice and professional system documentation and advanced technical reporting to industry standards. To strengthen the result, the student should provide clearer reasoning, improve technical precision and show more complete testing or reflection.</x:v>
      </x:c>
      <x:c r="E209" s="36" t="str">
        <x:v>SILO2: industry standard technical solutions in software or cybersecurity practice; SILO4: professional system documentation and advanced technical reporting to industry standards</x:v>
      </x:c>
      <x:c r="F209" s="35" t="n">
        <x:v>0.35</x:v>
      </x:c>
      <x:c r="G209" s="37" t="n">
        <x:f>C209*F209</x:f>
        <x:v>24.15</x:v>
      </x:c>
    </x:row>
    <x:row r="210" ht="15" hidden="0" customHeight="1">
      <x:c r="A210" s="34" t="str">
        <x:v>STU0019</x:v>
      </x:c>
      <x:c r="B210" s="35" t="str">
        <x:v>CSE3CAP - Assignment: Sprint Project management reports</x:v>
      </x:c>
      <x:c r="C210" s="35" t="n">
        <x:v>69</x:v>
      </x:c>
      <x:c r="D210" s="36" t="str">
        <x:v>This sound result shows a competent and generally reliable grasp of the relevant learning themes, particularly advanced project management during substantive development implementation and industry standard technical solutions in software or cybersecurity practice. To strengthen the result, the student should provide clearer reasoning, improve technical precision and show more complete testing or reflection.</x:v>
      </x:c>
      <x:c r="E210" s="36" t="str">
        <x:v>SILO1: advanced project management during substantive development implementation; SILO2: industry standard technical solutions in software or cybersecurity practice</x:v>
      </x:c>
      <x:c r="F210" s="35" t="n">
        <x:v>0.35</x:v>
      </x:c>
      <x:c r="G210" s="37" t="n">
        <x:f>C210*F210</x:f>
        <x:v>24.15</x:v>
      </x:c>
    </x:row>
    <x:row r="211" ht="15" hidden="0" customHeight="1">
      <x:c r="A211" s="34" t="str">
        <x:v>STU0020</x:v>
      </x:c>
      <x:c r="B211" s="35" t="str">
        <x:v>CSE1OOF - Test</x:v>
      </x:c>
      <x:c r="C211" s="35" t="n">
        <x:v>82</x:v>
      </x:c>
      <x:c r="D211" s="36" t="str">
        <x:v>This strong result shows well-developed understanding of the relevant learning themes, particularly analysis/design/implementation compared with object-oriented modelling using objects that combine data structure and behaviour and abstract data types and encapsulation to localise and minimise change. Further improvement would come from deeper justification, more consistent evaluation evidence and tighter links between decisions and implementation details.</x:v>
      </x:c>
      <x:c r="E211" s="36" t="str">
        <x:v>SILO1: analysis/design/implementation compared with object-oriented modelling using objects that combine data structure and behaviour; SILO2: abstract data types and encapsulation to localise and minimise change</x:v>
      </x:c>
      <x:c r="F211" s="35" t="n">
        <x:v>0.15</x:v>
      </x:c>
      <x:c r="G211" s="37" t="n">
        <x:f>C211*F211</x:f>
        <x:v>12.299999999999999</x:v>
      </x:c>
    </x:row>
    <x:row r="212" ht="15" hidden="0" customHeight="1">
      <x:c r="A212" s="34" t="str">
        <x:v>STU0020</x:v>
      </x:c>
      <x:c r="B212" s="35" t="str">
        <x:v>CSE1OOF - Practical demonstration</x:v>
      </x:c>
      <x:c r="C212" s="35" t="n">
        <x:v>77</x:v>
      </x:c>
      <x:c r="D212"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212" s="36" t="str">
        <x:v>SILO2: abstract data types and encapsulation to localise and minimise change; SILO3: code sharing and reuse through object-oriented techniques to reduce development time; SILO4: object-oriented design and implementation of computer programs for real-life problems</x:v>
      </x:c>
      <x:c r="F212" s="35" t="n">
        <x:v>0.2</x:v>
      </x:c>
      <x:c r="G212" s="37" t="n">
        <x:f>C212*F212</x:f>
        <x:v>15.4</x:v>
      </x:c>
    </x:row>
    <x:row r="213" ht="15" hidden="0" customHeight="1">
      <x:c r="A213" s="34" t="str">
        <x:v>STU0020</x:v>
      </x:c>
      <x:c r="B213" s="35" t="str">
        <x:v>CSE1OOF - Assignment</x:v>
      </x:c>
      <x:c r="C213" s="35" t="n">
        <x:v>82</x:v>
      </x:c>
      <x:c r="D213"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213" s="36" t="str">
        <x:v>SILO2: abstract data types and encapsulation to localise and minimise change; SILO3: code sharing and reuse through object-oriented techniques to reduce development time; SILO4: object-oriented design and implementation of computer programs for real-life problems</x:v>
      </x:c>
      <x:c r="F213" s="35" t="n">
        <x:v>0.25</x:v>
      </x:c>
      <x:c r="G213" s="37" t="n">
        <x:f>C213*F213</x:f>
        <x:v>20.5</x:v>
      </x:c>
    </x:row>
    <x:row r="214" ht="15" hidden="0" customHeight="1">
      <x:c r="A214" s="34" t="str">
        <x:v>STU0020</x:v>
      </x:c>
      <x:c r="B214" s="35" t="str">
        <x:v>CSE1OOF - Central examination</x:v>
      </x:c>
      <x:c r="C214" s="35" t="n">
        <x:v>77</x:v>
      </x:c>
      <x:c r="D214" s="36" t="str">
        <x:v>This strong result shows well-developed understanding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Further improvement would come from deeper justification, more consistent evaluation evidence and tighter links between decisions and implementation details.</x:v>
      </x:c>
      <x:c r="E214"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214" s="35" t="n">
        <x:v>0.4</x:v>
      </x:c>
      <x:c r="G214" s="37" t="n">
        <x:f>C214*F214</x:f>
        <x:v>30.8</x:v>
      </x:c>
    </x:row>
    <x:row r="215" ht="15" hidden="0" customHeight="1">
      <x:c r="A215" s="34" t="str">
        <x:v>STU0020</x:v>
      </x:c>
      <x:c r="B215" s="35" t="str">
        <x:v>CSE2ALG - Test</x:v>
      </x:c>
      <x:c r="C215" s="35" t="n">
        <x:v>84</x:v>
      </x:c>
      <x:c r="D215" s="36" t="str">
        <x:v>This strong result shows well-developed understanding of the relevant learning themes, particularly overall objectives of Algorithms and Data Structures, identifying data structures and searching and sorting algorithms in computing contexts, and implementing data structures and searching and sorting algorithms in Java. Further improvement would come from deeper justification, more consistent evaluation evidence and tighter links between decisions and implementation details.</x:v>
      </x:c>
      <x:c r="E215" s="36" t="str">
        <x:v>SILO1: overall objectives of Algorithms and Data Structures; SILO2: identifying data structures and searching and sorting algorithms in computing contexts; SILO3: implementing data structures and searching and sorting algorithms in Java</x:v>
      </x:c>
      <x:c r="F215" s="35" t="n">
        <x:v>0.2</x:v>
      </x:c>
      <x:c r="G215" s="37" t="n">
        <x:f>C215*F215</x:f>
        <x:v>16.8</x:v>
      </x:c>
    </x:row>
    <x:row r="216" ht="15" hidden="0" customHeight="1">
      <x:c r="A216" s="34" t="str">
        <x:v>STU0020</x:v>
      </x:c>
      <x:c r="B216" s="35" t="str">
        <x:v>CSE2ALG - Assignment</x:v>
      </x:c>
      <x:c r="C216" s="35" t="n">
        <x:v>84</x:v>
      </x:c>
      <x:c r="D216" s="36" t="str">
        <x:v>This strong result shows well-developed understanding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Further improvement would come from deeper justification, more consistent evaluation evidence and tighter links between decisions and implementation details.</x:v>
      </x:c>
      <x:c r="E216"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216" s="35" t="n">
        <x:v>0.3</x:v>
      </x:c>
      <x:c r="G216" s="37" t="n">
        <x:f>C216*F216</x:f>
        <x:v>25.2</x:v>
      </x:c>
    </x:row>
    <x:row r="217" ht="15" hidden="0" customHeight="1">
      <x:c r="A217" s="34" t="str">
        <x:v>STU0020</x:v>
      </x:c>
      <x:c r="B217" s="35" t="str">
        <x:v>CSE2ALG - Central examination</x:v>
      </x:c>
      <x:c r="C217" s="35" t="n">
        <x:v>79</x:v>
      </x:c>
      <x:c r="D217" s="36" t="str">
        <x:v>This strong result shows well-developed understanding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Further improvement would come from deeper justification, more consistent evaluation evidence and tighter links between decisions and implementation details.</x:v>
      </x:c>
      <x:c r="E217"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217" s="35" t="n">
        <x:v>0.5</x:v>
      </x:c>
      <x:c r="G217" s="37" t="n">
        <x:f>C217*F217</x:f>
        <x:v>39.5</x:v>
      </x:c>
    </x:row>
    <x:row r="218" ht="15" hidden="0" customHeight="1">
      <x:c r="A218" s="34" t="str">
        <x:v>STU0020</x:v>
      </x:c>
      <x:c r="B218" s="35" t="str">
        <x:v>CSE3CAP - Oral presentation: Project Milestone Presentation</x:v>
      </x:c>
      <x:c r="C218" s="35" t="n">
        <x:v>84</x:v>
      </x:c>
      <x:c r="D218"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218" s="36" t="str">
        <x:v>SILO3: reporting project outcomes to technical and non-technical audiences and reflecting on feedback</x:v>
      </x:c>
      <x:c r="F218" s="35" t="n">
        <x:v>0.1</x:v>
      </x:c>
      <x:c r="G218" s="37" t="n">
        <x:f>C218*F218</x:f>
        <x:v>8.4</x:v>
      </x:c>
    </x:row>
    <x:row r="219" ht="15" hidden="0" customHeight="1">
      <x:c r="A219" s="34" t="str">
        <x:v>STU0020</x:v>
      </x:c>
      <x:c r="B219" s="35" t="str">
        <x:v>CSE3CAP - Oral presentation: Final Project Presentation</x:v>
      </x:c>
      <x:c r="C219" s="35" t="n">
        <x:v>80</x:v>
      </x:c>
      <x:c r="D219"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219" s="36" t="str">
        <x:v>SILO3: reporting project outcomes to technical and non-technical audiences and reflecting on feedback</x:v>
      </x:c>
      <x:c r="F219" s="35" t="n">
        <x:v>0.2</x:v>
      </x:c>
      <x:c r="G219" s="37" t="n">
        <x:f>C219*F219</x:f>
        <x:v>16</x:v>
      </x:c>
    </x:row>
    <x:row r="220" ht="15" hidden="0" customHeight="1">
      <x:c r="A220" s="34" t="str">
        <x:v>STU0020</x:v>
      </x:c>
      <x:c r="B220" s="35" t="str">
        <x:v>CSE3CAP - Assignment: Final written Project Report</x:v>
      </x:c>
      <x:c r="C220" s="35" t="n">
        <x:v>80</x:v>
      </x:c>
      <x:c r="D220" s="36" t="str">
        <x:v>This strong result shows well-developed understanding of the relevant learning themes, particularly industry standard technical solutions in software or cybersecurity practice and professional system documentation and advanced technical reporting to industry standards. Further improvement would come from deeper justification, more consistent evaluation evidence and tighter links between decisions and implementation details.</x:v>
      </x:c>
      <x:c r="E220" s="36" t="str">
        <x:v>SILO2: industry standard technical solutions in software or cybersecurity practice; SILO4: professional system documentation and advanced technical reporting to industry standards</x:v>
      </x:c>
      <x:c r="F220" s="35" t="n">
        <x:v>0.35</x:v>
      </x:c>
      <x:c r="G220" s="37" t="n">
        <x:f>C220*F220</x:f>
        <x:v>28</x:v>
      </x:c>
    </x:row>
    <x:row r="221" ht="15" hidden="0" customHeight="1">
      <x:c r="A221" s="34" t="str">
        <x:v>STU0020</x:v>
      </x:c>
      <x:c r="B221" s="35" t="str">
        <x:v>CSE3CAP - Assignment: Sprint Project management reports</x:v>
      </x:c>
      <x:c r="C221" s="35" t="n">
        <x:v>80</x:v>
      </x:c>
      <x:c r="D221" s="36" t="str">
        <x:v>This strong result shows well-developed understanding of the relevant learning themes, particularly advanced project management during substantive development implementation and industry standard technical solutions in software or cybersecurity practice. Further improvement would come from deeper justification, more consistent evaluation evidence and tighter links between decisions and implementation details.</x:v>
      </x:c>
      <x:c r="E221" s="36" t="str">
        <x:v>SILO1: advanced project management during substantive development implementation; SILO2: industry standard technical solutions in software or cybersecurity practice</x:v>
      </x:c>
      <x:c r="F221" s="35" t="n">
        <x:v>0.35</x:v>
      </x:c>
      <x:c r="G221" s="37" t="n">
        <x:f>C221*F221</x:f>
        <x:v>28</x:v>
      </x:c>
    </x:row>
    <x:row r="222" ht="15" hidden="0" customHeight="1">
      <x:c r="A222" s="34" t="str">
        <x:v>STU0021</x:v>
      </x:c>
      <x:c r="B222" s="35" t="str">
        <x:v>CSE1OOF - Test</x:v>
      </x:c>
      <x:c r="C222" s="35" t="n">
        <x:v>77</x:v>
      </x:c>
      <x:c r="D222" s="36" t="str">
        <x:v>This strong result shows well-developed understanding of the relevant learning themes, particularly analysis/design/implementation compared with object-oriented modelling using objects that combine data structure and behaviour and abstract data types and encapsulation to localise and minimise change. Further improvement would come from deeper justification, more consistent evaluation evidence and tighter links between decisions and implementation details.</x:v>
      </x:c>
      <x:c r="E222" s="36" t="str">
        <x:v>SILO1: analysis/design/implementation compared with object-oriented modelling using objects that combine data structure and behaviour; SILO2: abstract data types and encapsulation to localise and minimise change</x:v>
      </x:c>
      <x:c r="F222" s="35" t="n">
        <x:v>0.15</x:v>
      </x:c>
      <x:c r="G222" s="37" t="n">
        <x:f>C222*F222</x:f>
        <x:v>11.549999999999999</x:v>
      </x:c>
    </x:row>
    <x:row r="223" ht="15" hidden="0" customHeight="1">
      <x:c r="A223" s="34" t="str">
        <x:v>STU0021</x:v>
      </x:c>
      <x:c r="B223" s="35" t="str">
        <x:v>CSE1OOF - Practical demonstration</x:v>
      </x:c>
      <x:c r="C223" s="35" t="n">
        <x:v>75</x:v>
      </x:c>
      <x:c r="D223"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223" s="36" t="str">
        <x:v>SILO2: abstract data types and encapsulation to localise and minimise change; SILO3: code sharing and reuse through object-oriented techniques to reduce development time; SILO4: object-oriented design and implementation of computer programs for real-life problems</x:v>
      </x:c>
      <x:c r="F223" s="35" t="n">
        <x:v>0.2</x:v>
      </x:c>
      <x:c r="G223" s="37" t="n">
        <x:f>C223*F223</x:f>
        <x:v>15</x:v>
      </x:c>
    </x:row>
    <x:row r="224" ht="15" hidden="0" customHeight="1">
      <x:c r="A224" s="34" t="str">
        <x:v>STU0021</x:v>
      </x:c>
      <x:c r="B224" s="35" t="str">
        <x:v>CSE1OOF - Assignment</x:v>
      </x:c>
      <x:c r="C224" s="35" t="n">
        <x:v>71</x:v>
      </x:c>
      <x:c r="D224"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224" s="36" t="str">
        <x:v>SILO2: abstract data types and encapsulation to localise and minimise change; SILO3: code sharing and reuse through object-oriented techniques to reduce development time; SILO4: object-oriented design and implementation of computer programs for real-life problems</x:v>
      </x:c>
      <x:c r="F224" s="35" t="n">
        <x:v>0.25</x:v>
      </x:c>
      <x:c r="G224" s="37" t="n">
        <x:f>C224*F224</x:f>
        <x:v>17.75</x:v>
      </x:c>
    </x:row>
    <x:row r="225" ht="15" hidden="0" customHeight="1">
      <x:c r="A225" s="34" t="str">
        <x:v>STU0021</x:v>
      </x:c>
      <x:c r="B225" s="35" t="str">
        <x:v>CSE1OOF - Central examination</x:v>
      </x:c>
      <x:c r="C225" s="35" t="n">
        <x:v>73</x:v>
      </x:c>
      <x:c r="D225"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225"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225" s="35" t="n">
        <x:v>0.4</x:v>
      </x:c>
      <x:c r="G225" s="37" t="n">
        <x:f>C225*F225</x:f>
        <x:v>29.200000000000003</x:v>
      </x:c>
    </x:row>
    <x:row r="226" ht="15" hidden="0" customHeight="1">
      <x:c r="A226" s="34" t="str">
        <x:v>STU0021</x:v>
      </x:c>
      <x:c r="B226" s="35" t="str">
        <x:v>CSE2ALG - Test</x:v>
      </x:c>
      <x:c r="C226" s="35" t="n">
        <x:v>70</x:v>
      </x:c>
      <x:c r="D226"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226" s="36" t="str">
        <x:v>SILO1: overall objectives of Algorithms and Data Structures; SILO2: identifying data structures and searching and sorting algorithms in computing contexts; SILO3: implementing data structures and searching and sorting algorithms in Java</x:v>
      </x:c>
      <x:c r="F226" s="35" t="n">
        <x:v>0.2</x:v>
      </x:c>
      <x:c r="G226" s="37" t="n">
        <x:f>C226*F226</x:f>
        <x:v>14</x:v>
      </x:c>
    </x:row>
    <x:row r="227" ht="15" hidden="0" customHeight="1">
      <x:c r="A227" s="34" t="str">
        <x:v>STU0021</x:v>
      </x:c>
      <x:c r="B227" s="35" t="str">
        <x:v>CSE2ALG - Assignment</x:v>
      </x:c>
      <x:c r="C227" s="35" t="n">
        <x:v>70</x:v>
      </x:c>
      <x:c r="D227" s="36" t="str">
        <x:v>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x:v>
      </x:c>
      <x:c r="E227"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227" s="35" t="n">
        <x:v>0.3</x:v>
      </x:c>
      <x:c r="G227" s="37" t="n">
        <x:f>C227*F227</x:f>
        <x:v>21</x:v>
      </x:c>
    </x:row>
    <x:row r="228" ht="15" hidden="0" customHeight="1">
      <x:c r="A228" s="34" t="str">
        <x:v>STU0021</x:v>
      </x:c>
      <x:c r="B228" s="35" t="str">
        <x:v>CSE2ALG - Central examination</x:v>
      </x:c>
      <x:c r="C228" s="35" t="n">
        <x:v>70</x:v>
      </x:c>
      <x:c r="D228"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228"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228" s="35" t="n">
        <x:v>0.5</x:v>
      </x:c>
      <x:c r="G228" s="37" t="n">
        <x:f>C228*F228</x:f>
        <x:v>35</x:v>
      </x:c>
    </x:row>
    <x:row r="229" ht="15" hidden="0" customHeight="1">
      <x:c r="A229" s="34" t="str">
        <x:v>STU0021</x:v>
      </x:c>
      <x:c r="B229" s="35" t="str">
        <x:v>CSE3CAP - Oral presentation: Project Milestone Presentation</x:v>
      </x:c>
      <x:c r="C229" s="35" t="n">
        <x:v>68</x:v>
      </x:c>
      <x:c r="D229"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229" s="36" t="str">
        <x:v>SILO3: reporting project outcomes to technical and non-technical audiences and reflecting on feedback</x:v>
      </x:c>
      <x:c r="F229" s="35" t="n">
        <x:v>0.1</x:v>
      </x:c>
      <x:c r="G229" s="37" t="n">
        <x:f>C229*F229</x:f>
        <x:v>6.800000000000001</x:v>
      </x:c>
    </x:row>
    <x:row r="230" ht="15" hidden="0" customHeight="1">
      <x:c r="A230" s="34" t="str">
        <x:v>STU0021</x:v>
      </x:c>
      <x:c r="B230" s="35" t="str">
        <x:v>CSE3CAP - Oral presentation: Final Project Presentation</x:v>
      </x:c>
      <x:c r="C230" s="35" t="n">
        <x:v>70</x:v>
      </x:c>
      <x:c r="D230"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230" s="36" t="str">
        <x:v>SILO3: reporting project outcomes to technical and non-technical audiences and reflecting on feedback</x:v>
      </x:c>
      <x:c r="F230" s="35" t="n">
        <x:v>0.2</x:v>
      </x:c>
      <x:c r="G230" s="37" t="n">
        <x:f>C230*F230</x:f>
        <x:v>14</x:v>
      </x:c>
    </x:row>
    <x:row r="231" ht="15" hidden="0" customHeight="1">
      <x:c r="A231" s="34" t="str">
        <x:v>STU0021</x:v>
      </x:c>
      <x:c r="B231" s="35" t="str">
        <x:v>CSE3CAP - Assignment: Final written Project Report</x:v>
      </x:c>
      <x:c r="C231" s="35" t="n">
        <x:v>71</x:v>
      </x:c>
      <x:c r="D231" s="36" t="str">
        <x:v>This sound result shows a competent and generally reliable grasp of the relevant learning themes, particularly industry standard technical solutions in software or cybersecurity practice and professional system documentation and advanced technical reporting to industry standards. To strengthen the result, the student should provide clearer reasoning, improve technical precision and show more complete testing or reflection.</x:v>
      </x:c>
      <x:c r="E231" s="36" t="str">
        <x:v>SILO2: industry standard technical solutions in software or cybersecurity practice; SILO4: professional system documentation and advanced technical reporting to industry standards</x:v>
      </x:c>
      <x:c r="F231" s="35" t="n">
        <x:v>0.35</x:v>
      </x:c>
      <x:c r="G231" s="37" t="n">
        <x:f>C231*F231</x:f>
        <x:v>24.849999999999998</x:v>
      </x:c>
    </x:row>
    <x:row r="232" ht="15" hidden="0" customHeight="1">
      <x:c r="A232" s="34" t="str">
        <x:v>STU0021</x:v>
      </x:c>
      <x:c r="B232" s="35" t="str">
        <x:v>CSE3CAP - Assignment: Sprint Project management reports</x:v>
      </x:c>
      <x:c r="C232" s="35" t="n">
        <x:v>71</x:v>
      </x:c>
      <x:c r="D232" s="36" t="str">
        <x:v>This sound result shows a competent and generally reliable grasp of the relevant learning themes, particularly advanced project management during substantive development implementation and industry standard technical solutions in software or cybersecurity practice. To strengthen the result, the student should provide clearer reasoning, improve technical precision and show more complete testing or reflection.</x:v>
      </x:c>
      <x:c r="E232" s="36" t="str">
        <x:v>SILO1: advanced project management during substantive development implementation; SILO2: industry standard technical solutions in software or cybersecurity practice</x:v>
      </x:c>
      <x:c r="F232" s="35" t="n">
        <x:v>0.35</x:v>
      </x:c>
      <x:c r="G232" s="37" t="n">
        <x:f>C232*F232</x:f>
        <x:v>24.849999999999998</x:v>
      </x:c>
    </x:row>
    <x:row r="233" ht="15" hidden="0" customHeight="1">
      <x:c r="A233" s="34" t="str">
        <x:v>STU0022</x:v>
      </x:c>
      <x:c r="B233" s="35" t="str">
        <x:v>CSE1OOF - Test</x:v>
      </x:c>
      <x:c r="C233" s="35" t="n">
        <x:v>72</x:v>
      </x:c>
      <x:c r="D233"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233" s="36" t="str">
        <x:v>SILO1: analysis/design/implementation compared with object-oriented modelling using objects that combine data structure and behaviour; SILO2: abstract data types and encapsulation to localise and minimise change</x:v>
      </x:c>
      <x:c r="F233" s="35" t="n">
        <x:v>0.15</x:v>
      </x:c>
      <x:c r="G233" s="37" t="n">
        <x:f>C233*F233</x:f>
        <x:v>10.799999999999999</x:v>
      </x:c>
    </x:row>
    <x:row r="234" ht="15" hidden="0" customHeight="1">
      <x:c r="A234" s="34" t="str">
        <x:v>STU0022</x:v>
      </x:c>
      <x:c r="B234" s="35" t="str">
        <x:v>CSE1OOF - Practical demonstration</x:v>
      </x:c>
      <x:c r="C234" s="35" t="n">
        <x:v>71</x:v>
      </x:c>
      <x:c r="D234"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234" s="36" t="str">
        <x:v>SILO2: abstract data types and encapsulation to localise and minimise change; SILO3: code sharing and reuse through object-oriented techniques to reduce development time; SILO4: object-oriented design and implementation of computer programs for real-life problems</x:v>
      </x:c>
      <x:c r="F234" s="35" t="n">
        <x:v>0.2</x:v>
      </x:c>
      <x:c r="G234" s="37" t="n">
        <x:f>C234*F234</x:f>
        <x:v>14.200000000000001</x:v>
      </x:c>
    </x:row>
    <x:row r="235" ht="15" hidden="0" customHeight="1">
      <x:c r="A235" s="34" t="str">
        <x:v>STU0022</x:v>
      </x:c>
      <x:c r="B235" s="35" t="str">
        <x:v>CSE1OOF - Assignment</x:v>
      </x:c>
      <x:c r="C235" s="35" t="n">
        <x:v>77</x:v>
      </x:c>
      <x:c r="D235"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235" s="36" t="str">
        <x:v>SILO2: abstract data types and encapsulation to localise and minimise change; SILO3: code sharing and reuse through object-oriented techniques to reduce development time; SILO4: object-oriented design and implementation of computer programs for real-life problems</x:v>
      </x:c>
      <x:c r="F235" s="35" t="n">
        <x:v>0.25</x:v>
      </x:c>
      <x:c r="G235" s="37" t="n">
        <x:f>C235*F235</x:f>
        <x:v>19.25</x:v>
      </x:c>
    </x:row>
    <x:row r="236" ht="15" hidden="0" customHeight="1">
      <x:c r="A236" s="34" t="str">
        <x:v>STU0022</x:v>
      </x:c>
      <x:c r="B236" s="35" t="str">
        <x:v>CSE1OOF - Central examination</x:v>
      </x:c>
      <x:c r="C236" s="35" t="n">
        <x:v>73</x:v>
      </x:c>
      <x:c r="D236"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236"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236" s="35" t="n">
        <x:v>0.4</x:v>
      </x:c>
      <x:c r="G236" s="37" t="n">
        <x:f>C236*F236</x:f>
        <x:v>29.200000000000003</x:v>
      </x:c>
    </x:row>
    <x:row r="237" ht="15" hidden="0" customHeight="1">
      <x:c r="A237" s="34" t="str">
        <x:v>STU0022</x:v>
      </x:c>
      <x:c r="B237" s="35" t="str">
        <x:v>CSE2ALG - Test</x:v>
      </x:c>
      <x:c r="C237" s="35" t="n">
        <x:v>72</x:v>
      </x:c>
      <x:c r="D237"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237" s="36" t="str">
        <x:v>SILO1: overall objectives of Algorithms and Data Structures; SILO2: identifying data structures and searching and sorting algorithms in computing contexts; SILO3: implementing data structures and searching and sorting algorithms in Java</x:v>
      </x:c>
      <x:c r="F237" s="35" t="n">
        <x:v>0.2</x:v>
      </x:c>
      <x:c r="G237" s="37" t="n">
        <x:f>C237*F237</x:f>
        <x:v>14.4</x:v>
      </x:c>
    </x:row>
    <x:row r="238" ht="15" hidden="0" customHeight="1">
      <x:c r="A238" s="34" t="str">
        <x:v>STU0022</x:v>
      </x:c>
      <x:c r="B238" s="35" t="str">
        <x:v>CSE2ALG - Assignment</x:v>
      </x:c>
      <x:c r="C238" s="35" t="n">
        <x:v>72</x:v>
      </x:c>
      <x:c r="D238" s="36" t="str">
        <x:v>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x:v>
      </x:c>
      <x:c r="E238"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238" s="35" t="n">
        <x:v>0.3</x:v>
      </x:c>
      <x:c r="G238" s="37" t="n">
        <x:f>C238*F238</x:f>
        <x:v>21.599999999999998</x:v>
      </x:c>
    </x:row>
    <x:row r="239" ht="15" hidden="0" customHeight="1">
      <x:c r="A239" s="34" t="str">
        <x:v>STU0022</x:v>
      </x:c>
      <x:c r="B239" s="35" t="str">
        <x:v>CSE2ALG - Central examination</x:v>
      </x:c>
      <x:c r="C239" s="35" t="n">
        <x:v>70</x:v>
      </x:c>
      <x:c r="D239"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239"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239" s="35" t="n">
        <x:v>0.5</x:v>
      </x:c>
      <x:c r="G239" s="37" t="n">
        <x:f>C239*F239</x:f>
        <x:v>35</x:v>
      </x:c>
    </x:row>
    <x:row r="240" ht="15" hidden="0" customHeight="1">
      <x:c r="A240" s="34" t="str">
        <x:v>STU0022</x:v>
      </x:c>
      <x:c r="B240" s="35" t="str">
        <x:v>CSE3CAP - Oral presentation: Project Milestone Presentation</x:v>
      </x:c>
      <x:c r="C240" s="35" t="n">
        <x:v>77</x:v>
      </x:c>
      <x:c r="D240"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240" s="36" t="str">
        <x:v>SILO3: reporting project outcomes to technical and non-technical audiences and reflecting on feedback</x:v>
      </x:c>
      <x:c r="F240" s="35" t="n">
        <x:v>0.1</x:v>
      </x:c>
      <x:c r="G240" s="37" t="n">
        <x:f>C240*F240</x:f>
        <x:v>7.7</x:v>
      </x:c>
    </x:row>
    <x:row r="241" ht="15" hidden="0" customHeight="1">
      <x:c r="A241" s="34" t="str">
        <x:v>STU0022</x:v>
      </x:c>
      <x:c r="B241" s="35" t="str">
        <x:v>CSE3CAP - Oral presentation: Final Project Presentation</x:v>
      </x:c>
      <x:c r="C241" s="35" t="n">
        <x:v>79</x:v>
      </x:c>
      <x:c r="D241"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241" s="36" t="str">
        <x:v>SILO3: reporting project outcomes to technical and non-technical audiences and reflecting on feedback</x:v>
      </x:c>
      <x:c r="F241" s="35" t="n">
        <x:v>0.2</x:v>
      </x:c>
      <x:c r="G241" s="37" t="n">
        <x:f>C241*F241</x:f>
        <x:v>15.8</x:v>
      </x:c>
    </x:row>
    <x:row r="242" ht="15" hidden="0" customHeight="1">
      <x:c r="A242" s="34" t="str">
        <x:v>STU0022</x:v>
      </x:c>
      <x:c r="B242" s="35" t="str">
        <x:v>CSE3CAP - Assignment: Final written Project Report</x:v>
      </x:c>
      <x:c r="C242" s="35" t="n">
        <x:v>77</x:v>
      </x:c>
      <x:c r="D242" s="36" t="str">
        <x:v>This strong result shows well-developed understanding of the relevant learning themes, particularly industry standard technical solutions in software or cybersecurity practice and professional system documentation and advanced technical reporting to industry standards. Further improvement would come from deeper justification, more consistent evaluation evidence and tighter links between decisions and implementation details.</x:v>
      </x:c>
      <x:c r="E242" s="36" t="str">
        <x:v>SILO2: industry standard technical solutions in software or cybersecurity practice; SILO4: professional system documentation and advanced technical reporting to industry standards</x:v>
      </x:c>
      <x:c r="F242" s="35" t="n">
        <x:v>0.35</x:v>
      </x:c>
      <x:c r="G242" s="37" t="n">
        <x:f>C242*F242</x:f>
        <x:v>26.95</x:v>
      </x:c>
    </x:row>
    <x:row r="243" ht="15" hidden="0" customHeight="1">
      <x:c r="A243" s="34" t="str">
        <x:v>STU0022</x:v>
      </x:c>
      <x:c r="B243" s="35" t="str">
        <x:v>CSE3CAP - Assignment: Sprint Project management reports</x:v>
      </x:c>
      <x:c r="C243" s="35" t="n">
        <x:v>76</x:v>
      </x:c>
      <x:c r="D243" s="36" t="str">
        <x:v>This strong result shows well-developed understanding of the relevant learning themes, particularly advanced project management during substantive development implementation and industry standard technical solutions in software or cybersecurity practice. Further improvement would come from deeper justification, more consistent evaluation evidence and tighter links between decisions and implementation details.</x:v>
      </x:c>
      <x:c r="E243" s="36" t="str">
        <x:v>SILO1: advanced project management during substantive development implementation; SILO2: industry standard technical solutions in software or cybersecurity practice</x:v>
      </x:c>
      <x:c r="F243" s="35" t="n">
        <x:v>0.35</x:v>
      </x:c>
      <x:c r="G243" s="37" t="n">
        <x:f>C243*F243</x:f>
        <x:v>26.599999999999998</x:v>
      </x:c>
    </x:row>
    <x:row r="244" ht="15" hidden="0" customHeight="1">
      <x:c r="A244" s="34" t="str">
        <x:v>STU0023</x:v>
      </x:c>
      <x:c r="B244" s="35" t="str">
        <x:v>CSE1OOF - Test</x:v>
      </x:c>
      <x:c r="C244" s="35" t="n">
        <x:v>64</x:v>
      </x:c>
      <x:c r="D244"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244" s="36" t="str">
        <x:v>SILO1: analysis/design/implementation compared with object-oriented modelling using objects that combine data structure and behaviour; SILO2: abstract data types and encapsulation to localise and minimise change</x:v>
      </x:c>
      <x:c r="F244" s="35" t="n">
        <x:v>0.15</x:v>
      </x:c>
      <x:c r="G244" s="37" t="n">
        <x:f>C244*F244</x:f>
        <x:v>9.6</x:v>
      </x:c>
    </x:row>
    <x:row r="245" ht="15" hidden="0" customHeight="1">
      <x:c r="A245" s="34" t="str">
        <x:v>STU0023</x:v>
      </x:c>
      <x:c r="B245" s="35" t="str">
        <x:v>CSE1OOF - Practical demonstration</x:v>
      </x:c>
      <x:c r="C245" s="35" t="n">
        <x:v>64</x:v>
      </x:c>
      <x:c r="D245"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245" s="36" t="str">
        <x:v>SILO2: abstract data types and encapsulation to localise and minimise change; SILO3: code sharing and reuse through object-oriented techniques to reduce development time; SILO4: object-oriented design and implementation of computer programs for real-life problems</x:v>
      </x:c>
      <x:c r="F245" s="35" t="n">
        <x:v>0.2</x:v>
      </x:c>
      <x:c r="G245" s="37" t="n">
        <x:f>C245*F245</x:f>
        <x:v>12.8</x:v>
      </x:c>
    </x:row>
    <x:row r="246" ht="15" hidden="0" customHeight="1">
      <x:c r="A246" s="34" t="str">
        <x:v>STU0023</x:v>
      </x:c>
      <x:c r="B246" s="35" t="str">
        <x:v>CSE1OOF - Assignment</x:v>
      </x:c>
      <x:c r="C246" s="35" t="n">
        <x:v>69</x:v>
      </x:c>
      <x:c r="D246"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246" s="36" t="str">
        <x:v>SILO2: abstract data types and encapsulation to localise and minimise change; SILO3: code sharing and reuse through object-oriented techniques to reduce development time; SILO4: object-oriented design and implementation of computer programs for real-life problems</x:v>
      </x:c>
      <x:c r="F246" s="35" t="n">
        <x:v>0.25</x:v>
      </x:c>
      <x:c r="G246" s="37" t="n">
        <x:f>C246*F246</x:f>
        <x:v>17.25</x:v>
      </x:c>
    </x:row>
    <x:row r="247" ht="15" hidden="0" customHeight="1">
      <x:c r="A247" s="34" t="str">
        <x:v>STU0023</x:v>
      </x:c>
      <x:c r="B247" s="35" t="str">
        <x:v>CSE1OOF - Central examination</x:v>
      </x:c>
      <x:c r="C247" s="35" t="n">
        <x:v>66</x:v>
      </x:c>
      <x:c r="D247"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247"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247" s="35" t="n">
        <x:v>0.4</x:v>
      </x:c>
      <x:c r="G247" s="37" t="n">
        <x:f>C247*F247</x:f>
        <x:v>26.400000000000002</x:v>
      </x:c>
    </x:row>
    <x:row r="248" ht="15" hidden="0" customHeight="1">
      <x:c r="A248" s="34" t="str">
        <x:v>STU0023</x:v>
      </x:c>
      <x:c r="B248" s="35" t="str">
        <x:v>CSE2ALG - Test</x:v>
      </x:c>
      <x:c r="C248" s="35" t="n">
        <x:v>60</x:v>
      </x:c>
      <x:c r="D248"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248" s="36" t="str">
        <x:v>SILO1: overall objectives of Algorithms and Data Structures; SILO2: identifying data structures and searching and sorting algorithms in computing contexts; SILO3: implementing data structures and searching and sorting algorithms in Java</x:v>
      </x:c>
      <x:c r="F248" s="35" t="n">
        <x:v>0.2</x:v>
      </x:c>
      <x:c r="G248" s="37" t="n">
        <x:f>C248*F248</x:f>
        <x:v>12</x:v>
      </x:c>
    </x:row>
    <x:row r="249" ht="15" hidden="0" customHeight="1">
      <x:c r="A249" s="34" t="str">
        <x:v>STU0023</x:v>
      </x:c>
      <x:c r="B249" s="35" t="str">
        <x:v>CSE2ALG - Assignment</x:v>
      </x:c>
      <x:c r="C249" s="35" t="n">
        <x:v>60</x:v>
      </x:c>
      <x:c r="D249"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249"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249" s="35" t="n">
        <x:v>0.3</x:v>
      </x:c>
      <x:c r="G249" s="37" t="n">
        <x:f>C249*F249</x:f>
        <x:v>18</x:v>
      </x:c>
    </x:row>
    <x:row r="250" ht="15" hidden="0" customHeight="1">
      <x:c r="A250" s="34" t="str">
        <x:v>STU0023</x:v>
      </x:c>
      <x:c r="B250" s="35" t="str">
        <x:v>CSE2ALG - Central examination</x:v>
      </x:c>
      <x:c r="C250" s="35" t="n">
        <x:v>61</x:v>
      </x:c>
      <x:c r="D250" s="36" t="str">
        <x:v>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x:v>
      </x:c>
      <x:c r="E250"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250" s="35" t="n">
        <x:v>0.5</x:v>
      </x:c>
      <x:c r="G250" s="37" t="n">
        <x:f>C250*F250</x:f>
        <x:v>30.5</x:v>
      </x:c>
    </x:row>
    <x:row r="251" ht="15" hidden="0" customHeight="1">
      <x:c r="A251" s="34" t="str">
        <x:v>STU0023</x:v>
      </x:c>
      <x:c r="B251" s="35" t="str">
        <x:v>CSE3CAP - Oral presentation: Project Milestone Presentation</x:v>
      </x:c>
      <x:c r="C251" s="35" t="n">
        <x:v>64</x:v>
      </x:c>
      <x:c r="D251"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251" s="36" t="str">
        <x:v>SILO3: reporting project outcomes to technical and non-technical audiences and reflecting on feedback</x:v>
      </x:c>
      <x:c r="F251" s="35" t="n">
        <x:v>0.1</x:v>
      </x:c>
      <x:c r="G251" s="37" t="n">
        <x:f>C251*F251</x:f>
        <x:v>6.4</x:v>
      </x:c>
    </x:row>
    <x:row r="252" ht="15" hidden="0" customHeight="1">
      <x:c r="A252" s="34" t="str">
        <x:v>STU0023</x:v>
      </x:c>
      <x:c r="B252" s="35" t="str">
        <x:v>CSE3CAP - Oral presentation: Final Project Presentation</x:v>
      </x:c>
      <x:c r="C252" s="35" t="n">
        <x:v>62</x:v>
      </x:c>
      <x:c r="D252"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252" s="36" t="str">
        <x:v>SILO3: reporting project outcomes to technical and non-technical audiences and reflecting on feedback</x:v>
      </x:c>
      <x:c r="F252" s="35" t="n">
        <x:v>0.2</x:v>
      </x:c>
      <x:c r="G252" s="37" t="n">
        <x:f>C252*F252</x:f>
        <x:v>12.4</x:v>
      </x:c>
    </x:row>
    <x:row r="253" ht="15" hidden="0" customHeight="1">
      <x:c r="A253" s="34" t="str">
        <x:v>STU0023</x:v>
      </x:c>
      <x:c r="B253" s="35" t="str">
        <x:v>CSE3CAP - Assignment: Final written Project Report</x:v>
      </x:c>
      <x:c r="C253" s="35" t="n">
        <x:v>60</x:v>
      </x:c>
      <x:c r="D253"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253" s="36" t="str">
        <x:v>SILO2: industry standard technical solutions in software or cybersecurity practice; SILO4: professional system documentation and advanced technical reporting to industry standards</x:v>
      </x:c>
      <x:c r="F253" s="35" t="n">
        <x:v>0.35</x:v>
      </x:c>
      <x:c r="G253" s="37" t="n">
        <x:f>C253*F253</x:f>
        <x:v>21</x:v>
      </x:c>
    </x:row>
    <x:row r="254" ht="15" hidden="0" customHeight="1">
      <x:c r="A254" s="34" t="str">
        <x:v>STU0023</x:v>
      </x:c>
      <x:c r="B254" s="35" t="str">
        <x:v>CSE3CAP - Assignment: Sprint Project management reports</x:v>
      </x:c>
      <x:c r="C254" s="35" t="n">
        <x:v>62</x:v>
      </x:c>
      <x:c r="D254"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254" s="36" t="str">
        <x:v>SILO1: advanced project management during substantive development implementation; SILO2: industry standard technical solutions in software or cybersecurity practice</x:v>
      </x:c>
      <x:c r="F254" s="35" t="n">
        <x:v>0.35</x:v>
      </x:c>
      <x:c r="G254" s="37" t="n">
        <x:f>C254*F254</x:f>
        <x:v>21.7</x:v>
      </x:c>
    </x:row>
    <x:row r="255" ht="15" hidden="0" customHeight="1">
      <x:c r="A255" s="34" t="str">
        <x:v>STU0024</x:v>
      </x:c>
      <x:c r="B255" s="35" t="str">
        <x:v>CSE1OOF - Test</x:v>
      </x:c>
      <x:c r="C255" s="35" t="n">
        <x:v>70</x:v>
      </x:c>
      <x:c r="D255"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255" s="36" t="str">
        <x:v>SILO1: analysis/design/implementation compared with object-oriented modelling using objects that combine data structure and behaviour; SILO2: abstract data types and encapsulation to localise and minimise change</x:v>
      </x:c>
      <x:c r="F255" s="35" t="n">
        <x:v>0.15</x:v>
      </x:c>
      <x:c r="G255" s="37" t="n">
        <x:f>C255*F255</x:f>
        <x:v>10.5</x:v>
      </x:c>
    </x:row>
    <x:row r="256" ht="15" hidden="0" customHeight="1">
      <x:c r="A256" s="34" t="str">
        <x:v>STU0024</x:v>
      </x:c>
      <x:c r="B256" s="35" t="str">
        <x:v>CSE1OOF - Practical demonstration</x:v>
      </x:c>
      <x:c r="C256" s="35" t="n">
        <x:v>69</x:v>
      </x:c>
      <x:c r="D256"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256" s="36" t="str">
        <x:v>SILO2: abstract data types and encapsulation to localise and minimise change; SILO3: code sharing and reuse through object-oriented techniques to reduce development time; SILO4: object-oriented design and implementation of computer programs for real-life problems</x:v>
      </x:c>
      <x:c r="F256" s="35" t="n">
        <x:v>0.2</x:v>
      </x:c>
      <x:c r="G256" s="37" t="n">
        <x:f>C256*F256</x:f>
        <x:v>13.8</x:v>
      </x:c>
    </x:row>
    <x:row r="257" ht="15" hidden="0" customHeight="1">
      <x:c r="A257" s="34" t="str">
        <x:v>STU0024</x:v>
      </x:c>
      <x:c r="B257" s="35" t="str">
        <x:v>CSE1OOF - Assignment</x:v>
      </x:c>
      <x:c r="C257" s="35" t="n">
        <x:v>74</x:v>
      </x:c>
      <x:c r="D257"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257" s="36" t="str">
        <x:v>SILO2: abstract data types and encapsulation to localise and minimise change; SILO3: code sharing and reuse through object-oriented techniques to reduce development time; SILO4: object-oriented design and implementation of computer programs for real-life problems</x:v>
      </x:c>
      <x:c r="F257" s="35" t="n">
        <x:v>0.25</x:v>
      </x:c>
      <x:c r="G257" s="37" t="n">
        <x:f>C257*F257</x:f>
        <x:v>18.5</x:v>
      </x:c>
    </x:row>
    <x:row r="258" ht="15" hidden="0" customHeight="1">
      <x:c r="A258" s="34" t="str">
        <x:v>STU0024</x:v>
      </x:c>
      <x:c r="B258" s="35" t="str">
        <x:v>CSE1OOF - Central examination</x:v>
      </x:c>
      <x:c r="C258" s="35" t="n">
        <x:v>69</x:v>
      </x:c>
      <x:c r="D258"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258"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258" s="35" t="n">
        <x:v>0.4</x:v>
      </x:c>
      <x:c r="G258" s="37" t="n">
        <x:f>C258*F258</x:f>
        <x:v>27.6</x:v>
      </x:c>
    </x:row>
    <x:row r="259" ht="15" hidden="0" customHeight="1">
      <x:c r="A259" s="34" t="str">
        <x:v>STU0024</x:v>
      </x:c>
      <x:c r="B259" s="35" t="str">
        <x:v>CSE2ALG - Test</x:v>
      </x:c>
      <x:c r="C259" s="35" t="n">
        <x:v>69</x:v>
      </x:c>
      <x:c r="D259"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259" s="36" t="str">
        <x:v>SILO1: overall objectives of Algorithms and Data Structures; SILO2: identifying data structures and searching and sorting algorithms in computing contexts; SILO3: implementing data structures and searching and sorting algorithms in Java</x:v>
      </x:c>
      <x:c r="F259" s="35" t="n">
        <x:v>0.2</x:v>
      </x:c>
      <x:c r="G259" s="37" t="n">
        <x:f>C259*F259</x:f>
        <x:v>13.8</x:v>
      </x:c>
    </x:row>
    <x:row r="260" ht="15" hidden="0" customHeight="1">
      <x:c r="A260" s="34" t="str">
        <x:v>STU0024</x:v>
      </x:c>
      <x:c r="B260" s="35" t="str">
        <x:v>CSE2ALG - Assignment</x:v>
      </x:c>
      <x:c r="C260" s="35" t="n">
        <x:v>69</x:v>
      </x:c>
      <x:c r="D260" s="36" t="str">
        <x:v>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x:v>
      </x:c>
      <x:c r="E260"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260" s="35" t="n">
        <x:v>0.3</x:v>
      </x:c>
      <x:c r="G260" s="37" t="n">
        <x:f>C260*F260</x:f>
        <x:v>20.7</x:v>
      </x:c>
    </x:row>
    <x:row r="261" ht="15" hidden="0" customHeight="1">
      <x:c r="A261" s="34" t="str">
        <x:v>STU0024</x:v>
      </x:c>
      <x:c r="B261" s="35" t="str">
        <x:v>CSE2ALG - Central examination</x:v>
      </x:c>
      <x:c r="C261" s="35" t="n">
        <x:v>73</x:v>
      </x:c>
      <x:c r="D261"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261"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261" s="35" t="n">
        <x:v>0.5</x:v>
      </x:c>
      <x:c r="G261" s="37" t="n">
        <x:f>C261*F261</x:f>
        <x:v>36.5</x:v>
      </x:c>
    </x:row>
    <x:row r="262" ht="15" hidden="0" customHeight="1">
      <x:c r="A262" s="34" t="str">
        <x:v>STU0024</x:v>
      </x:c>
      <x:c r="B262" s="35" t="str">
        <x:v>CSE3CAP - Oral presentation: Project Milestone Presentation</x:v>
      </x:c>
      <x:c r="C262" s="35" t="n">
        <x:v>76</x:v>
      </x:c>
      <x:c r="D262"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262" s="36" t="str">
        <x:v>SILO3: reporting project outcomes to technical and non-technical audiences and reflecting on feedback</x:v>
      </x:c>
      <x:c r="F262" s="35" t="n">
        <x:v>0.1</x:v>
      </x:c>
      <x:c r="G262" s="37" t="n">
        <x:f>C262*F262</x:f>
        <x:v>7.6000000000000005</x:v>
      </x:c>
    </x:row>
    <x:row r="263" ht="15" hidden="0" customHeight="1">
      <x:c r="A263" s="34" t="str">
        <x:v>STU0024</x:v>
      </x:c>
      <x:c r="B263" s="35" t="str">
        <x:v>CSE3CAP - Oral presentation: Final Project Presentation</x:v>
      </x:c>
      <x:c r="C263" s="35" t="n">
        <x:v>76</x:v>
      </x:c>
      <x:c r="D263"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263" s="36" t="str">
        <x:v>SILO3: reporting project outcomes to technical and non-technical audiences and reflecting on feedback</x:v>
      </x:c>
      <x:c r="F263" s="35" t="n">
        <x:v>0.2</x:v>
      </x:c>
      <x:c r="G263" s="37" t="n">
        <x:f>C263*F263</x:f>
        <x:v>15.200000000000001</x:v>
      </x:c>
    </x:row>
    <x:row r="264" ht="15" hidden="0" customHeight="1">
      <x:c r="A264" s="34" t="str">
        <x:v>STU0024</x:v>
      </x:c>
      <x:c r="B264" s="35" t="str">
        <x:v>CSE3CAP - Assignment: Final written Project Report</x:v>
      </x:c>
      <x:c r="C264" s="35" t="n">
        <x:v>77</x:v>
      </x:c>
      <x:c r="D264" s="36" t="str">
        <x:v>This strong result shows well-developed understanding of the relevant learning themes, particularly industry standard technical solutions in software or cybersecurity practice and professional system documentation and advanced technical reporting to industry standards. Further improvement would come from deeper justification, more consistent evaluation evidence and tighter links between decisions and implementation details.</x:v>
      </x:c>
      <x:c r="E264" s="36" t="str">
        <x:v>SILO2: industry standard technical solutions in software or cybersecurity practice; SILO4: professional system documentation and advanced technical reporting to industry standards</x:v>
      </x:c>
      <x:c r="F264" s="35" t="n">
        <x:v>0.35</x:v>
      </x:c>
      <x:c r="G264" s="37" t="n">
        <x:f>C264*F264</x:f>
        <x:v>26.95</x:v>
      </x:c>
    </x:row>
    <x:row r="265" ht="15" hidden="0" customHeight="1">
      <x:c r="A265" s="34" t="str">
        <x:v>STU0024</x:v>
      </x:c>
      <x:c r="B265" s="35" t="str">
        <x:v>CSE3CAP - Assignment: Sprint Project management reports</x:v>
      </x:c>
      <x:c r="C265" s="35" t="n">
        <x:v>77</x:v>
      </x:c>
      <x:c r="D265" s="36" t="str">
        <x:v>This strong result shows well-developed understanding of the relevant learning themes, particularly advanced project management during substantive development implementation and industry standard technical solutions in software or cybersecurity practice. Further improvement would come from deeper justification, more consistent evaluation evidence and tighter links between decisions and implementation details.</x:v>
      </x:c>
      <x:c r="E265" s="36" t="str">
        <x:v>SILO1: advanced project management during substantive development implementation; SILO2: industry standard technical solutions in software or cybersecurity practice</x:v>
      </x:c>
      <x:c r="F265" s="35" t="n">
        <x:v>0.35</x:v>
      </x:c>
      <x:c r="G265" s="37" t="n">
        <x:f>C265*F265</x:f>
        <x:v>26.95</x:v>
      </x:c>
    </x:row>
    <x:row r="266" ht="15" hidden="0" customHeight="1">
      <x:c r="A266" s="34" t="str">
        <x:v>STU0025</x:v>
      </x:c>
      <x:c r="B266" s="35" t="str">
        <x:v>CSE1OOF - Test</x:v>
      </x:c>
      <x:c r="C266" s="35" t="n">
        <x:v>82</x:v>
      </x:c>
      <x:c r="D266" s="36" t="str">
        <x:v>This strong result shows well-developed understanding of the relevant learning themes, particularly analysis/design/implementation compared with object-oriented modelling using objects that combine data structure and behaviour and abstract data types and encapsulation to localise and minimise change. Further improvement would come from deeper justification, more consistent evaluation evidence and tighter links between decisions and implementation details.</x:v>
      </x:c>
      <x:c r="E266" s="36" t="str">
        <x:v>SILO1: analysis/design/implementation compared with object-oriented modelling using objects that combine data structure and behaviour; SILO2: abstract data types and encapsulation to localise and minimise change</x:v>
      </x:c>
      <x:c r="F266" s="35" t="n">
        <x:v>0.15</x:v>
      </x:c>
      <x:c r="G266" s="37" t="n">
        <x:f>C266*F266</x:f>
        <x:v>12.299999999999999</x:v>
      </x:c>
    </x:row>
    <x:row r="267" ht="15" hidden="0" customHeight="1">
      <x:c r="A267" s="34" t="str">
        <x:v>STU0025</x:v>
      </x:c>
      <x:c r="B267" s="35" t="str">
        <x:v>CSE1OOF - Practical demonstration</x:v>
      </x:c>
      <x:c r="C267" s="35" t="n">
        <x:v>82</x:v>
      </x:c>
      <x:c r="D267"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267" s="36" t="str">
        <x:v>SILO2: abstract data types and encapsulation to localise and minimise change; SILO3: code sharing and reuse through object-oriented techniques to reduce development time; SILO4: object-oriented design and implementation of computer programs for real-life problems</x:v>
      </x:c>
      <x:c r="F267" s="35" t="n">
        <x:v>0.2</x:v>
      </x:c>
      <x:c r="G267" s="37" t="n">
        <x:f>C267*F267</x:f>
        <x:v>16.400000000000002</x:v>
      </x:c>
    </x:row>
    <x:row r="268" ht="15" hidden="0" customHeight="1">
      <x:c r="A268" s="34" t="str">
        <x:v>STU0025</x:v>
      </x:c>
      <x:c r="B268" s="35" t="str">
        <x:v>CSE1OOF - Assignment</x:v>
      </x:c>
      <x:c r="C268" s="35" t="n">
        <x:v>83</x:v>
      </x:c>
      <x:c r="D268"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268" s="36" t="str">
        <x:v>SILO2: abstract data types and encapsulation to localise and minimise change; SILO3: code sharing and reuse through object-oriented techniques to reduce development time; SILO4: object-oriented design and implementation of computer programs for real-life problems</x:v>
      </x:c>
      <x:c r="F268" s="35" t="n">
        <x:v>0.25</x:v>
      </x:c>
      <x:c r="G268" s="37" t="n">
        <x:f>C268*F268</x:f>
        <x:v>20.75</x:v>
      </x:c>
    </x:row>
    <x:row r="269" ht="15" hidden="0" customHeight="1">
      <x:c r="A269" s="34" t="str">
        <x:v>STU0025</x:v>
      </x:c>
      <x:c r="B269" s="35" t="str">
        <x:v>CSE1OOF - Central examination</x:v>
      </x:c>
      <x:c r="C269" s="35" t="n">
        <x:v>80</x:v>
      </x:c>
      <x:c r="D269" s="36" t="str">
        <x:v>This strong result shows well-developed understanding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Further improvement would come from deeper justification, more consistent evaluation evidence and tighter links between decisions and implementation details.</x:v>
      </x:c>
      <x:c r="E269"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269" s="35" t="n">
        <x:v>0.4</x:v>
      </x:c>
      <x:c r="G269" s="37" t="n">
        <x:f>C269*F269</x:f>
        <x:v>32</x:v>
      </x:c>
    </x:row>
    <x:row r="270" ht="15" hidden="0" customHeight="1">
      <x:c r="A270" s="34" t="str">
        <x:v>STU0025</x:v>
      </x:c>
      <x:c r="B270" s="35" t="str">
        <x:v>CSE2ALG - Test</x:v>
      </x:c>
      <x:c r="C270" s="35" t="n">
        <x:v>85</x:v>
      </x:c>
      <x:c r="D270" s="36" t="str">
        <x:v>This excellent result demonstrates confident and independent command of the relevant learning themes, particularly overall objectives of Algorithms and Data Structures, identifying data structures and searching and sorting algorithms in computing contexts, and implementing data structures and searching and sorting algorithms in Java. The work is clear, accurate and well justified, with only minor opportunities to further polish explanation or evaluation.</x:v>
      </x:c>
      <x:c r="E270" s="36" t="str">
        <x:v>SILO1: overall objectives of Algorithms and Data Structures; SILO2: identifying data structures and searching and sorting algorithms in computing contexts; SILO3: implementing data structures and searching and sorting algorithms in Java</x:v>
      </x:c>
      <x:c r="F270" s="35" t="n">
        <x:v>0.2</x:v>
      </x:c>
      <x:c r="G270" s="37" t="n">
        <x:f>C270*F270</x:f>
        <x:v>17</x:v>
      </x:c>
    </x:row>
    <x:row r="271" ht="15" hidden="0" customHeight="1">
      <x:c r="A271" s="34" t="str">
        <x:v>STU0025</x:v>
      </x:c>
      <x:c r="B271" s="35" t="str">
        <x:v>CSE2ALG - Assignment</x:v>
      </x:c>
      <x:c r="C271" s="35" t="n">
        <x:v>79</x:v>
      </x:c>
      <x:c r="D271" s="36" t="str">
        <x:v>This strong result shows well-developed understanding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Further improvement would come from deeper justification, more consistent evaluation evidence and tighter links between decisions and implementation details.</x:v>
      </x:c>
      <x:c r="E271"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271" s="35" t="n">
        <x:v>0.3</x:v>
      </x:c>
      <x:c r="G271" s="37" t="n">
        <x:f>C271*F271</x:f>
        <x:v>23.7</x:v>
      </x:c>
    </x:row>
    <x:row r="272" ht="15" hidden="0" customHeight="1">
      <x:c r="A272" s="34" t="str">
        <x:v>STU0025</x:v>
      </x:c>
      <x:c r="B272" s="35" t="str">
        <x:v>CSE2ALG - Central examination</x:v>
      </x:c>
      <x:c r="C272" s="35" t="n">
        <x:v>85</x:v>
      </x:c>
      <x:c r="D272" s="36" t="str">
        <x:v>This excellent result demonstrates confident and independent command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The work is clear, accurate and well justified, with only minor opportunities to further polish explanation or evaluation.</x:v>
      </x:c>
      <x:c r="E272"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272" s="35" t="n">
        <x:v>0.5</x:v>
      </x:c>
      <x:c r="G272" s="37" t="n">
        <x:f>C272*F272</x:f>
        <x:v>42.5</x:v>
      </x:c>
    </x:row>
    <x:row r="273" ht="15" hidden="0" customHeight="1">
      <x:c r="A273" s="34" t="str">
        <x:v>STU0025</x:v>
      </x:c>
      <x:c r="B273" s="35" t="str">
        <x:v>CSE3CAP - Oral presentation: Project Milestone Presentation</x:v>
      </x:c>
      <x:c r="C273" s="35" t="n">
        <x:v>86</x:v>
      </x:c>
      <x:c r="D273" s="36" t="str">
        <x:v>This excellent result demonstrates confident and independent command of the relevant learning themes, particularly reporting project outcomes to technical and non-technical audiences and reflecting on feedback. The work is clear, accurate and well justified, with only minor opportunities to further polish explanation or evaluation.</x:v>
      </x:c>
      <x:c r="E273" s="36" t="str">
        <x:v>SILO3: reporting project outcomes to technical and non-technical audiences and reflecting on feedback</x:v>
      </x:c>
      <x:c r="F273" s="35" t="n">
        <x:v>0.1</x:v>
      </x:c>
      <x:c r="G273" s="37" t="n">
        <x:f>C273*F273</x:f>
        <x:v>8.6</x:v>
      </x:c>
    </x:row>
    <x:row r="274" ht="15" hidden="0" customHeight="1">
      <x:c r="A274" s="34" t="str">
        <x:v>STU0025</x:v>
      </x:c>
      <x:c r="B274" s="35" t="str">
        <x:v>CSE3CAP - Oral presentation: Final Project Presentation</x:v>
      </x:c>
      <x:c r="C274" s="35" t="n">
        <x:v>84</x:v>
      </x:c>
      <x:c r="D274"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274" s="36" t="str">
        <x:v>SILO3: reporting project outcomes to technical and non-technical audiences and reflecting on feedback</x:v>
      </x:c>
      <x:c r="F274" s="35" t="n">
        <x:v>0.2</x:v>
      </x:c>
      <x:c r="G274" s="37" t="n">
        <x:f>C274*F274</x:f>
        <x:v>16.8</x:v>
      </x:c>
    </x:row>
    <x:row r="275" ht="15" hidden="0" customHeight="1">
      <x:c r="A275" s="34" t="str">
        <x:v>STU0025</x:v>
      </x:c>
      <x:c r="B275" s="35" t="str">
        <x:v>CSE3CAP - Assignment: Final written Project Report</x:v>
      </x:c>
      <x:c r="C275" s="35" t="n">
        <x:v>83</x:v>
      </x:c>
      <x:c r="D275" s="36" t="str">
        <x:v>This strong result shows well-developed understanding of the relevant learning themes, particularly industry standard technical solutions in software or cybersecurity practice and professional system documentation and advanced technical reporting to industry standards. Further improvement would come from deeper justification, more consistent evaluation evidence and tighter links between decisions and implementation details.</x:v>
      </x:c>
      <x:c r="E275" s="36" t="str">
        <x:v>SILO2: industry standard technical solutions in software or cybersecurity practice; SILO4: professional system documentation and advanced technical reporting to industry standards</x:v>
      </x:c>
      <x:c r="F275" s="35" t="n">
        <x:v>0.35</x:v>
      </x:c>
      <x:c r="G275" s="37" t="n">
        <x:f>C275*F275</x:f>
        <x:v>29.049999999999997</x:v>
      </x:c>
    </x:row>
    <x:row r="276" ht="15" hidden="0" customHeight="1">
      <x:c r="A276" s="34" t="str">
        <x:v>STU0025</x:v>
      </x:c>
      <x:c r="B276" s="35" t="str">
        <x:v>CSE3CAP - Assignment: Sprint Project management reports</x:v>
      </x:c>
      <x:c r="C276" s="35" t="n">
        <x:v>82</x:v>
      </x:c>
      <x:c r="D276" s="36" t="str">
        <x:v>This strong result shows well-developed understanding of the relevant learning themes, particularly advanced project management during substantive development implementation and industry standard technical solutions in software or cybersecurity practice. Further improvement would come from deeper justification, more consistent evaluation evidence and tighter links between decisions and implementation details.</x:v>
      </x:c>
      <x:c r="E276" s="36" t="str">
        <x:v>SILO1: advanced project management during substantive development implementation; SILO2: industry standard technical solutions in software or cybersecurity practice</x:v>
      </x:c>
      <x:c r="F276" s="35" t="n">
        <x:v>0.35</x:v>
      </x:c>
      <x:c r="G276" s="37" t="n">
        <x:f>C276*F276</x:f>
        <x:v>28.7</x:v>
      </x:c>
    </x:row>
    <x:row r="277" ht="15" hidden="0" customHeight="1">
      <x:c r="A277" s="34" t="str">
        <x:v>STU0026</x:v>
      </x:c>
      <x:c r="B277" s="35" t="str">
        <x:v>CSE1OOF - Test</x:v>
      </x:c>
      <x:c r="C277" s="35" t="n">
        <x:v>80</x:v>
      </x:c>
      <x:c r="D277" s="36" t="str">
        <x:v>This strong result shows well-developed understanding of the relevant learning themes, particularly analysis/design/implementation compared with object-oriented modelling using objects that combine data structure and behaviour and abstract data types and encapsulation to localise and minimise change. Further improvement would come from deeper justification, more consistent evaluation evidence and tighter links between decisions and implementation details.</x:v>
      </x:c>
      <x:c r="E277" s="36" t="str">
        <x:v>SILO1: analysis/design/implementation compared with object-oriented modelling using objects that combine data structure and behaviour; SILO2: abstract data types and encapsulation to localise and minimise change</x:v>
      </x:c>
      <x:c r="F277" s="35" t="n">
        <x:v>0.15</x:v>
      </x:c>
      <x:c r="G277" s="37" t="n">
        <x:f>C277*F277</x:f>
        <x:v>12</x:v>
      </x:c>
    </x:row>
    <x:row r="278" ht="15" hidden="0" customHeight="1">
      <x:c r="A278" s="34" t="str">
        <x:v>STU0026</x:v>
      </x:c>
      <x:c r="B278" s="35" t="str">
        <x:v>CSE1OOF - Practical demonstration</x:v>
      </x:c>
      <x:c r="C278" s="35" t="n">
        <x:v>82</x:v>
      </x:c>
      <x:c r="D278"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278" s="36" t="str">
        <x:v>SILO2: abstract data types and encapsulation to localise and minimise change; SILO3: code sharing and reuse through object-oriented techniques to reduce development time; SILO4: object-oriented design and implementation of computer programs for real-life problems</x:v>
      </x:c>
      <x:c r="F278" s="35" t="n">
        <x:v>0.2</x:v>
      </x:c>
      <x:c r="G278" s="37" t="n">
        <x:f>C278*F278</x:f>
        <x:v>16.400000000000002</x:v>
      </x:c>
    </x:row>
    <x:row r="279" ht="15" hidden="0" customHeight="1">
      <x:c r="A279" s="34" t="str">
        <x:v>STU0026</x:v>
      </x:c>
      <x:c r="B279" s="35" t="str">
        <x:v>CSE1OOF - Assignment</x:v>
      </x:c>
      <x:c r="C279" s="35" t="n">
        <x:v>78</x:v>
      </x:c>
      <x:c r="D279"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279" s="36" t="str">
        <x:v>SILO2: abstract data types and encapsulation to localise and minimise change; SILO3: code sharing and reuse through object-oriented techniques to reduce development time; SILO4: object-oriented design and implementation of computer programs for real-life problems</x:v>
      </x:c>
      <x:c r="F279" s="35" t="n">
        <x:v>0.25</x:v>
      </x:c>
      <x:c r="G279" s="37" t="n">
        <x:f>C279*F279</x:f>
        <x:v>19.5</x:v>
      </x:c>
    </x:row>
    <x:row r="280" ht="15" hidden="0" customHeight="1">
      <x:c r="A280" s="34" t="str">
        <x:v>STU0026</x:v>
      </x:c>
      <x:c r="B280" s="35" t="str">
        <x:v>CSE1OOF - Central examination</x:v>
      </x:c>
      <x:c r="C280" s="35" t="n">
        <x:v>76</x:v>
      </x:c>
      <x:c r="D280" s="36" t="str">
        <x:v>This strong result shows well-developed understanding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Further improvement would come from deeper justification, more consistent evaluation evidence and tighter links between decisions and implementation details.</x:v>
      </x:c>
      <x:c r="E280"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280" s="35" t="n">
        <x:v>0.4</x:v>
      </x:c>
      <x:c r="G280" s="37" t="n">
        <x:f>C280*F280</x:f>
        <x:v>30.400000000000002</x:v>
      </x:c>
    </x:row>
    <x:row r="281" ht="15" hidden="0" customHeight="1">
      <x:c r="A281" s="34" t="str">
        <x:v>STU0026</x:v>
      </x:c>
      <x:c r="B281" s="35" t="str">
        <x:v>CSE2ALG - Test</x:v>
      </x:c>
      <x:c r="C281" s="35" t="n">
        <x:v>79</x:v>
      </x:c>
      <x:c r="D281" s="36" t="str">
        <x:v>This strong result shows well-developed understanding of the relevant learning themes, particularly overall objectives of Algorithms and Data Structures, identifying data structures and searching and sorting algorithms in computing contexts, and implementing data structures and searching and sorting algorithms in Java. Further improvement would come from deeper justification, more consistent evaluation evidence and tighter links between decisions and implementation details.</x:v>
      </x:c>
      <x:c r="E281" s="36" t="str">
        <x:v>SILO1: overall objectives of Algorithms and Data Structures; SILO2: identifying data structures and searching and sorting algorithms in computing contexts; SILO3: implementing data structures and searching and sorting algorithms in Java</x:v>
      </x:c>
      <x:c r="F281" s="35" t="n">
        <x:v>0.2</x:v>
      </x:c>
      <x:c r="G281" s="37" t="n">
        <x:f>C281*F281</x:f>
        <x:v>15.8</x:v>
      </x:c>
    </x:row>
    <x:row r="282" ht="15" hidden="0" customHeight="1">
      <x:c r="A282" s="34" t="str">
        <x:v>STU0026</x:v>
      </x:c>
      <x:c r="B282" s="35" t="str">
        <x:v>CSE2ALG - Assignment</x:v>
      </x:c>
      <x:c r="C282" s="35" t="n">
        <x:v>80</x:v>
      </x:c>
      <x:c r="D282" s="36" t="str">
        <x:v>This strong result shows well-developed understanding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Further improvement would come from deeper justification, more consistent evaluation evidence and tighter links between decisions and implementation details.</x:v>
      </x:c>
      <x:c r="E282"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282" s="35" t="n">
        <x:v>0.3</x:v>
      </x:c>
      <x:c r="G282" s="37" t="n">
        <x:f>C282*F282</x:f>
        <x:v>24</x:v>
      </x:c>
    </x:row>
    <x:row r="283" ht="15" hidden="0" customHeight="1">
      <x:c r="A283" s="34" t="str">
        <x:v>STU0026</x:v>
      </x:c>
      <x:c r="B283" s="35" t="str">
        <x:v>CSE2ALG - Central examination</x:v>
      </x:c>
      <x:c r="C283" s="35" t="n">
        <x:v>79</x:v>
      </x:c>
      <x:c r="D283" s="36" t="str">
        <x:v>This strong result shows well-developed understanding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Further improvement would come from deeper justification, more consistent evaluation evidence and tighter links between decisions and implementation details.</x:v>
      </x:c>
      <x:c r="E283"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283" s="35" t="n">
        <x:v>0.5</x:v>
      </x:c>
      <x:c r="G283" s="37" t="n">
        <x:f>C283*F283</x:f>
        <x:v>39.5</x:v>
      </x:c>
    </x:row>
    <x:row r="284" ht="15" hidden="0" customHeight="1">
      <x:c r="A284" s="34" t="str">
        <x:v>STU0026</x:v>
      </x:c>
      <x:c r="B284" s="35" t="str">
        <x:v>CSE3CAP - Oral presentation: Project Milestone Presentation</x:v>
      </x:c>
      <x:c r="C284" s="35" t="n">
        <x:v>77</x:v>
      </x:c>
      <x:c r="D284"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284" s="36" t="str">
        <x:v>SILO3: reporting project outcomes to technical and non-technical audiences and reflecting on feedback</x:v>
      </x:c>
      <x:c r="F284" s="35" t="n">
        <x:v>0.1</x:v>
      </x:c>
      <x:c r="G284" s="37" t="n">
        <x:f>C284*F284</x:f>
        <x:v>7.7</x:v>
      </x:c>
    </x:row>
    <x:row r="285" ht="15" hidden="0" customHeight="1">
      <x:c r="A285" s="34" t="str">
        <x:v>STU0026</x:v>
      </x:c>
      <x:c r="B285" s="35" t="str">
        <x:v>CSE3CAP - Oral presentation: Final Project Presentation</x:v>
      </x:c>
      <x:c r="C285" s="35" t="n">
        <x:v>80</x:v>
      </x:c>
      <x:c r="D285"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285" s="36" t="str">
        <x:v>SILO3: reporting project outcomes to technical and non-technical audiences and reflecting on feedback</x:v>
      </x:c>
      <x:c r="F285" s="35" t="n">
        <x:v>0.2</x:v>
      </x:c>
      <x:c r="G285" s="37" t="n">
        <x:f>C285*F285</x:f>
        <x:v>16</x:v>
      </x:c>
    </x:row>
    <x:row r="286" ht="15" hidden="0" customHeight="1">
      <x:c r="A286" s="34" t="str">
        <x:v>STU0026</x:v>
      </x:c>
      <x:c r="B286" s="35" t="str">
        <x:v>CSE3CAP - Assignment: Final written Project Report</x:v>
      </x:c>
      <x:c r="C286" s="35" t="n">
        <x:v>81</x:v>
      </x:c>
      <x:c r="D286" s="36" t="str">
        <x:v>This strong result shows well-developed understanding of the relevant learning themes, particularly industry standard technical solutions in software or cybersecurity practice and professional system documentation and advanced technical reporting to industry standards. Further improvement would come from deeper justification, more consistent evaluation evidence and tighter links between decisions and implementation details.</x:v>
      </x:c>
      <x:c r="E286" s="36" t="str">
        <x:v>SILO2: industry standard technical solutions in software or cybersecurity practice; SILO4: professional system documentation and advanced technical reporting to industry standards</x:v>
      </x:c>
      <x:c r="F286" s="35" t="n">
        <x:v>0.35</x:v>
      </x:c>
      <x:c r="G286" s="37" t="n">
        <x:f>C286*F286</x:f>
        <x:v>28.349999999999998</x:v>
      </x:c>
    </x:row>
    <x:row r="287" ht="15" hidden="0" customHeight="1">
      <x:c r="A287" s="34" t="str">
        <x:v>STU0026</x:v>
      </x:c>
      <x:c r="B287" s="35" t="str">
        <x:v>CSE3CAP - Assignment: Sprint Project management reports</x:v>
      </x:c>
      <x:c r="C287" s="35" t="n">
        <x:v>80</x:v>
      </x:c>
      <x:c r="D287" s="36" t="str">
        <x:v>This strong result shows well-developed understanding of the relevant learning themes, particularly advanced project management during substantive development implementation and industry standard technical solutions in software or cybersecurity practice. Further improvement would come from deeper justification, more consistent evaluation evidence and tighter links between decisions and implementation details.</x:v>
      </x:c>
      <x:c r="E287" s="36" t="str">
        <x:v>SILO1: advanced project management during substantive development implementation; SILO2: industry standard technical solutions in software or cybersecurity practice</x:v>
      </x:c>
      <x:c r="F287" s="35" t="n">
        <x:v>0.35</x:v>
      </x:c>
      <x:c r="G287" s="37" t="n">
        <x:f>C287*F287</x:f>
        <x:v>28</x:v>
      </x:c>
    </x:row>
    <x:row r="288" ht="15" hidden="0" customHeight="1">
      <x:c r="A288" s="34" t="str">
        <x:v>STU0027</x:v>
      </x:c>
      <x:c r="B288" s="35" t="str">
        <x:v>CSE1OOF - Test</x:v>
      </x:c>
      <x:c r="C288" s="35" t="n">
        <x:v>74</x:v>
      </x:c>
      <x:c r="D288"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288" s="36" t="str">
        <x:v>SILO1: analysis/design/implementation compared with object-oriented modelling using objects that combine data structure and behaviour; SILO2: abstract data types and encapsulation to localise and minimise change</x:v>
      </x:c>
      <x:c r="F288" s="35" t="n">
        <x:v>0.15</x:v>
      </x:c>
      <x:c r="G288" s="37" t="n">
        <x:f>C288*F288</x:f>
        <x:v>11.1</x:v>
      </x:c>
    </x:row>
    <x:row r="289" ht="15" hidden="0" customHeight="1">
      <x:c r="A289" s="34" t="str">
        <x:v>STU0027</x:v>
      </x:c>
      <x:c r="B289" s="35" t="str">
        <x:v>CSE1OOF - Practical demonstration</x:v>
      </x:c>
      <x:c r="C289" s="35" t="n">
        <x:v>75</x:v>
      </x:c>
      <x:c r="D289"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289" s="36" t="str">
        <x:v>SILO2: abstract data types and encapsulation to localise and minimise change; SILO3: code sharing and reuse through object-oriented techniques to reduce development time; SILO4: object-oriented design and implementation of computer programs for real-life problems</x:v>
      </x:c>
      <x:c r="F289" s="35" t="n">
        <x:v>0.2</x:v>
      </x:c>
      <x:c r="G289" s="37" t="n">
        <x:f>C289*F289</x:f>
        <x:v>15</x:v>
      </x:c>
    </x:row>
    <x:row r="290" ht="15" hidden="0" customHeight="1">
      <x:c r="A290" s="34" t="str">
        <x:v>STU0027</x:v>
      </x:c>
      <x:c r="B290" s="35" t="str">
        <x:v>CSE1OOF - Assignment</x:v>
      </x:c>
      <x:c r="C290" s="35" t="n">
        <x:v>76</x:v>
      </x:c>
      <x:c r="D290"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290" s="36" t="str">
        <x:v>SILO2: abstract data types and encapsulation to localise and minimise change; SILO3: code sharing and reuse through object-oriented techniques to reduce development time; SILO4: object-oriented design and implementation of computer programs for real-life problems</x:v>
      </x:c>
      <x:c r="F290" s="35" t="n">
        <x:v>0.25</x:v>
      </x:c>
      <x:c r="G290" s="37" t="n">
        <x:f>C290*F290</x:f>
        <x:v>19</x:v>
      </x:c>
    </x:row>
    <x:row r="291" ht="15" hidden="0" customHeight="1">
      <x:c r="A291" s="34" t="str">
        <x:v>STU0027</x:v>
      </x:c>
      <x:c r="B291" s="35" t="str">
        <x:v>CSE1OOF - Central examination</x:v>
      </x:c>
      <x:c r="C291" s="35" t="n">
        <x:v>71</x:v>
      </x:c>
      <x:c r="D291"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291"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291" s="35" t="n">
        <x:v>0.4</x:v>
      </x:c>
      <x:c r="G291" s="37" t="n">
        <x:f>C291*F291</x:f>
        <x:v>28.400000000000002</x:v>
      </x:c>
    </x:row>
    <x:row r="292" ht="15" hidden="0" customHeight="1">
      <x:c r="A292" s="34" t="str">
        <x:v>STU0027</x:v>
      </x:c>
      <x:c r="B292" s="35" t="str">
        <x:v>CSE2ALG - Test</x:v>
      </x:c>
      <x:c r="C292" s="35" t="n">
        <x:v>72</x:v>
      </x:c>
      <x:c r="D292"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292" s="36" t="str">
        <x:v>SILO1: overall objectives of Algorithms and Data Structures; SILO2: identifying data structures and searching and sorting algorithms in computing contexts; SILO3: implementing data structures and searching and sorting algorithms in Java</x:v>
      </x:c>
      <x:c r="F292" s="35" t="n">
        <x:v>0.2</x:v>
      </x:c>
      <x:c r="G292" s="37" t="n">
        <x:f>C292*F292</x:f>
        <x:v>14.4</x:v>
      </x:c>
    </x:row>
    <x:row r="293" ht="15" hidden="0" customHeight="1">
      <x:c r="A293" s="34" t="str">
        <x:v>STU0027</x:v>
      </x:c>
      <x:c r="B293" s="35" t="str">
        <x:v>CSE2ALG - Assignment</x:v>
      </x:c>
      <x:c r="C293" s="35" t="n">
        <x:v>72</x:v>
      </x:c>
      <x:c r="D293" s="36" t="str">
        <x:v>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x:v>
      </x:c>
      <x:c r="E293"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293" s="35" t="n">
        <x:v>0.3</x:v>
      </x:c>
      <x:c r="G293" s="37" t="n">
        <x:f>C293*F293</x:f>
        <x:v>21.599999999999998</x:v>
      </x:c>
    </x:row>
    <x:row r="294" ht="15" hidden="0" customHeight="1">
      <x:c r="A294" s="34" t="str">
        <x:v>STU0027</x:v>
      </x:c>
      <x:c r="B294" s="35" t="str">
        <x:v>CSE2ALG - Central examination</x:v>
      </x:c>
      <x:c r="C294" s="35" t="n">
        <x:v>70</x:v>
      </x:c>
      <x:c r="D294"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294"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294" s="35" t="n">
        <x:v>0.5</x:v>
      </x:c>
      <x:c r="G294" s="37" t="n">
        <x:f>C294*F294</x:f>
        <x:v>35</x:v>
      </x:c>
    </x:row>
    <x:row r="295" ht="15" hidden="0" customHeight="1">
      <x:c r="A295" s="34" t="str">
        <x:v>STU0027</x:v>
      </x:c>
      <x:c r="B295" s="35" t="str">
        <x:v>CSE3CAP - Oral presentation: Project Milestone Presentation</x:v>
      </x:c>
      <x:c r="C295" s="35" t="n">
        <x:v>76</x:v>
      </x:c>
      <x:c r="D295"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295" s="36" t="str">
        <x:v>SILO3: reporting project outcomes to technical and non-technical audiences and reflecting on feedback</x:v>
      </x:c>
      <x:c r="F295" s="35" t="n">
        <x:v>0.1</x:v>
      </x:c>
      <x:c r="G295" s="37" t="n">
        <x:f>C295*F295</x:f>
        <x:v>7.6000000000000005</x:v>
      </x:c>
    </x:row>
    <x:row r="296" ht="15" hidden="0" customHeight="1">
      <x:c r="A296" s="34" t="str">
        <x:v>STU0027</x:v>
      </x:c>
      <x:c r="B296" s="35" t="str">
        <x:v>CSE3CAP - Oral presentation: Final Project Presentation</x:v>
      </x:c>
      <x:c r="C296" s="35" t="n">
        <x:v>70</x:v>
      </x:c>
      <x:c r="D296"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296" s="36" t="str">
        <x:v>SILO3: reporting project outcomes to technical and non-technical audiences and reflecting on feedback</x:v>
      </x:c>
      <x:c r="F296" s="35" t="n">
        <x:v>0.2</x:v>
      </x:c>
      <x:c r="G296" s="37" t="n">
        <x:f>C296*F296</x:f>
        <x:v>14</x:v>
      </x:c>
    </x:row>
    <x:row r="297" ht="15" hidden="0" customHeight="1">
      <x:c r="A297" s="34" t="str">
        <x:v>STU0027</x:v>
      </x:c>
      <x:c r="B297" s="35" t="str">
        <x:v>CSE3CAP - Assignment: Final written Project Report</x:v>
      </x:c>
      <x:c r="C297" s="35" t="n">
        <x:v>72</x:v>
      </x:c>
      <x:c r="D297" s="36" t="str">
        <x:v>This sound result shows a competent and generally reliable grasp of the relevant learning themes, particularly industry standard technical solutions in software or cybersecurity practice and professional system documentation and advanced technical reporting to industry standards. To strengthen the result, the student should provide clearer reasoning, improve technical precision and show more complete testing or reflection.</x:v>
      </x:c>
      <x:c r="E297" s="36" t="str">
        <x:v>SILO2: industry standard technical solutions in software or cybersecurity practice; SILO4: professional system documentation and advanced technical reporting to industry standards</x:v>
      </x:c>
      <x:c r="F297" s="35" t="n">
        <x:v>0.35</x:v>
      </x:c>
      <x:c r="G297" s="37" t="n">
        <x:f>C297*F297</x:f>
        <x:v>25.2</x:v>
      </x:c>
    </x:row>
    <x:row r="298" ht="15" hidden="0" customHeight="1">
      <x:c r="A298" s="34" t="str">
        <x:v>STU0027</x:v>
      </x:c>
      <x:c r="B298" s="35" t="str">
        <x:v>CSE3CAP - Assignment: Sprint Project management reports</x:v>
      </x:c>
      <x:c r="C298" s="35" t="n">
        <x:v>70</x:v>
      </x:c>
      <x:c r="D298" s="36" t="str">
        <x:v>This sound result shows a competent and generally reliable grasp of the relevant learning themes, particularly advanced project management during substantive development implementation and industry standard technical solutions in software or cybersecurity practice. To strengthen the result, the student should provide clearer reasoning, improve technical precision and show more complete testing or reflection.</x:v>
      </x:c>
      <x:c r="E298" s="36" t="str">
        <x:v>SILO1: advanced project management during substantive development implementation; SILO2: industry standard technical solutions in software or cybersecurity practice</x:v>
      </x:c>
      <x:c r="F298" s="35" t="n">
        <x:v>0.35</x:v>
      </x:c>
      <x:c r="G298" s="37" t="n">
        <x:f>C298*F298</x:f>
        <x:v>24.5</x:v>
      </x:c>
    </x:row>
    <x:row r="299" ht="15" hidden="0" customHeight="1">
      <x:c r="A299" s="34" t="str">
        <x:v>STU0028</x:v>
      </x:c>
      <x:c r="B299" s="35" t="str">
        <x:v>CSE1OOF - Test</x:v>
      </x:c>
      <x:c r="C299" s="35" t="n">
        <x:v>72</x:v>
      </x:c>
      <x:c r="D299"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299" s="36" t="str">
        <x:v>SILO1: analysis/design/implementation compared with object-oriented modelling using objects that combine data structure and behaviour; SILO2: abstract data types and encapsulation to localise and minimise change</x:v>
      </x:c>
      <x:c r="F299" s="35" t="n">
        <x:v>0.15</x:v>
      </x:c>
      <x:c r="G299" s="37" t="n">
        <x:f>C299*F299</x:f>
        <x:v>10.799999999999999</x:v>
      </x:c>
    </x:row>
    <x:row r="300" ht="15" hidden="0" customHeight="1">
      <x:c r="A300" s="34" t="str">
        <x:v>STU0028</x:v>
      </x:c>
      <x:c r="B300" s="35" t="str">
        <x:v>CSE1OOF - Practical demonstration</x:v>
      </x:c>
      <x:c r="C300" s="35" t="n">
        <x:v>74</x:v>
      </x:c>
      <x:c r="D300"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300" s="36" t="str">
        <x:v>SILO2: abstract data types and encapsulation to localise and minimise change; SILO3: code sharing and reuse through object-oriented techniques to reduce development time; SILO4: object-oriented design and implementation of computer programs for real-life problems</x:v>
      </x:c>
      <x:c r="F300" s="35" t="n">
        <x:v>0.2</x:v>
      </x:c>
      <x:c r="G300" s="37" t="n">
        <x:f>C300*F300</x:f>
        <x:v>14.8</x:v>
      </x:c>
    </x:row>
    <x:row r="301" ht="15" hidden="0" customHeight="1">
      <x:c r="A301" s="34" t="str">
        <x:v>STU0028</x:v>
      </x:c>
      <x:c r="B301" s="35" t="str">
        <x:v>CSE1OOF - Assignment</x:v>
      </x:c>
      <x:c r="C301" s="35" t="n">
        <x:v>69</x:v>
      </x:c>
      <x:c r="D301"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301" s="36" t="str">
        <x:v>SILO2: abstract data types and encapsulation to localise and minimise change; SILO3: code sharing and reuse through object-oriented techniques to reduce development time; SILO4: object-oriented design and implementation of computer programs for real-life problems</x:v>
      </x:c>
      <x:c r="F301" s="35" t="n">
        <x:v>0.25</x:v>
      </x:c>
      <x:c r="G301" s="37" t="n">
        <x:f>C301*F301</x:f>
        <x:v>17.25</x:v>
      </x:c>
    </x:row>
    <x:row r="302" ht="15" hidden="0" customHeight="1">
      <x:c r="A302" s="34" t="str">
        <x:v>STU0028</x:v>
      </x:c>
      <x:c r="B302" s="35" t="str">
        <x:v>CSE1OOF - Central examination</x:v>
      </x:c>
      <x:c r="C302" s="35" t="n">
        <x:v>74</x:v>
      </x:c>
      <x:c r="D302"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302"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302" s="35" t="n">
        <x:v>0.4</x:v>
      </x:c>
      <x:c r="G302" s="37" t="n">
        <x:f>C302*F302</x:f>
        <x:v>29.6</x:v>
      </x:c>
    </x:row>
    <x:row r="303" ht="15" hidden="0" customHeight="1">
      <x:c r="A303" s="34" t="str">
        <x:v>STU0028</x:v>
      </x:c>
      <x:c r="B303" s="35" t="str">
        <x:v>CSE2ALG - Test</x:v>
      </x:c>
      <x:c r="C303" s="35" t="n">
        <x:v>77</x:v>
      </x:c>
      <x:c r="D303" s="36" t="str">
        <x:v>This strong result shows well-developed understanding of the relevant learning themes, particularly overall objectives of Algorithms and Data Structures, identifying data structures and searching and sorting algorithms in computing contexts, and implementing data structures and searching and sorting algorithms in Java. Further improvement would come from deeper justification, more consistent evaluation evidence and tighter links between decisions and implementation details.</x:v>
      </x:c>
      <x:c r="E303" s="36" t="str">
        <x:v>SILO1: overall objectives of Algorithms and Data Structures; SILO2: identifying data structures and searching and sorting algorithms in computing contexts; SILO3: implementing data structures and searching and sorting algorithms in Java</x:v>
      </x:c>
      <x:c r="F303" s="35" t="n">
        <x:v>0.2</x:v>
      </x:c>
      <x:c r="G303" s="37" t="n">
        <x:f>C303*F303</x:f>
        <x:v>15.4</x:v>
      </x:c>
    </x:row>
    <x:row r="304" ht="15" hidden="0" customHeight="1">
      <x:c r="A304" s="34" t="str">
        <x:v>STU0028</x:v>
      </x:c>
      <x:c r="B304" s="35" t="str">
        <x:v>CSE2ALG - Assignment</x:v>
      </x:c>
      <x:c r="C304" s="35" t="n">
        <x:v>76</x:v>
      </x:c>
      <x:c r="D304" s="36" t="str">
        <x:v>This strong result shows well-developed understanding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Further improvement would come from deeper justification, more consistent evaluation evidence and tighter links between decisions and implementation details.</x:v>
      </x:c>
      <x:c r="E304"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304" s="35" t="n">
        <x:v>0.3</x:v>
      </x:c>
      <x:c r="G304" s="37" t="n">
        <x:f>C304*F304</x:f>
        <x:v>22.8</x:v>
      </x:c>
    </x:row>
    <x:row r="305" ht="15" hidden="0" customHeight="1">
      <x:c r="A305" s="34" t="str">
        <x:v>STU0028</x:v>
      </x:c>
      <x:c r="B305" s="35" t="str">
        <x:v>CSE2ALG - Central examination</x:v>
      </x:c>
      <x:c r="C305" s="35" t="n">
        <x:v>76</x:v>
      </x:c>
      <x:c r="D305" s="36" t="str">
        <x:v>This strong result shows well-developed understanding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Further improvement would come from deeper justification, more consistent evaluation evidence and tighter links between decisions and implementation details.</x:v>
      </x:c>
      <x:c r="E305"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305" s="35" t="n">
        <x:v>0.5</x:v>
      </x:c>
      <x:c r="G305" s="37" t="n">
        <x:f>C305*F305</x:f>
        <x:v>38</x:v>
      </x:c>
    </x:row>
    <x:row r="306" ht="15" hidden="0" customHeight="1">
      <x:c r="A306" s="34" t="str">
        <x:v>STU0028</x:v>
      </x:c>
      <x:c r="B306" s="35" t="str">
        <x:v>CSE3CAP - Oral presentation: Project Milestone Presentation</x:v>
      </x:c>
      <x:c r="C306" s="35" t="n">
        <x:v>70</x:v>
      </x:c>
      <x:c r="D306"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306" s="36" t="str">
        <x:v>SILO3: reporting project outcomes to technical and non-technical audiences and reflecting on feedback</x:v>
      </x:c>
      <x:c r="F306" s="35" t="n">
        <x:v>0.1</x:v>
      </x:c>
      <x:c r="G306" s="37" t="n">
        <x:f>C306*F306</x:f>
        <x:v>7</x:v>
      </x:c>
    </x:row>
    <x:row r="307" ht="15" hidden="0" customHeight="1">
      <x:c r="A307" s="34" t="str">
        <x:v>STU0028</x:v>
      </x:c>
      <x:c r="B307" s="35" t="str">
        <x:v>CSE3CAP - Oral presentation: Final Project Presentation</x:v>
      </x:c>
      <x:c r="C307" s="35" t="n">
        <x:v>71</x:v>
      </x:c>
      <x:c r="D307"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307" s="36" t="str">
        <x:v>SILO3: reporting project outcomes to technical and non-technical audiences and reflecting on feedback</x:v>
      </x:c>
      <x:c r="F307" s="35" t="n">
        <x:v>0.2</x:v>
      </x:c>
      <x:c r="G307" s="37" t="n">
        <x:f>C307*F307</x:f>
        <x:v>14.200000000000001</x:v>
      </x:c>
    </x:row>
    <x:row r="308" ht="15" hidden="0" customHeight="1">
      <x:c r="A308" s="34" t="str">
        <x:v>STU0028</x:v>
      </x:c>
      <x:c r="B308" s="35" t="str">
        <x:v>CSE3CAP - Assignment: Final written Project Report</x:v>
      </x:c>
      <x:c r="C308" s="35" t="n">
        <x:v>69</x:v>
      </x:c>
      <x:c r="D308" s="36" t="str">
        <x:v>This sound result shows a competent and generally reliable grasp of the relevant learning themes, particularly industry standard technical solutions in software or cybersecurity practice and professional system documentation and advanced technical reporting to industry standards. To strengthen the result, the student should provide clearer reasoning, improve technical precision and show more complete testing or reflection.</x:v>
      </x:c>
      <x:c r="E308" s="36" t="str">
        <x:v>SILO2: industry standard technical solutions in software or cybersecurity practice; SILO4: professional system documentation and advanced technical reporting to industry standards</x:v>
      </x:c>
      <x:c r="F308" s="35" t="n">
        <x:v>0.35</x:v>
      </x:c>
      <x:c r="G308" s="37" t="n">
        <x:f>C308*F308</x:f>
        <x:v>24.15</x:v>
      </x:c>
    </x:row>
    <x:row r="309" ht="15" hidden="0" customHeight="1">
      <x:c r="A309" s="34" t="str">
        <x:v>STU0028</x:v>
      </x:c>
      <x:c r="B309" s="35" t="str">
        <x:v>CSE3CAP - Assignment: Sprint Project management reports</x:v>
      </x:c>
      <x:c r="C309" s="35" t="n">
        <x:v>69</x:v>
      </x:c>
      <x:c r="D309" s="36" t="str">
        <x:v>This sound result shows a competent and generally reliable grasp of the relevant learning themes, particularly advanced project management during substantive development implementation and industry standard technical solutions in software or cybersecurity practice. To strengthen the result, the student should provide clearer reasoning, improve technical precision and show more complete testing or reflection.</x:v>
      </x:c>
      <x:c r="E309" s="36" t="str">
        <x:v>SILO1: advanced project management during substantive development implementation; SILO2: industry standard technical solutions in software or cybersecurity practice</x:v>
      </x:c>
      <x:c r="F309" s="35" t="n">
        <x:v>0.35</x:v>
      </x:c>
      <x:c r="G309" s="37" t="n">
        <x:f>C309*F309</x:f>
        <x:v>24.15</x:v>
      </x:c>
    </x:row>
    <x:row r="310" ht="15" hidden="0" customHeight="1">
      <x:c r="A310" s="34" t="str">
        <x:v>STU0029</x:v>
      </x:c>
      <x:c r="B310" s="35" t="str">
        <x:v>CSE1OOF - Test</x:v>
      </x:c>
      <x:c r="C310" s="35" t="n">
        <x:v>56</x:v>
      </x:c>
      <x:c r="D310"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310" s="36" t="str">
        <x:v>SILO1: analysis/design/implementation compared with object-oriented modelling using objects that combine data structure and behaviour; SILO2: abstract data types and encapsulation to localise and minimise change</x:v>
      </x:c>
      <x:c r="F310" s="35" t="n">
        <x:v>0.15</x:v>
      </x:c>
      <x:c r="G310" s="37" t="n">
        <x:f>C310*F310</x:f>
        <x:v>8.4</x:v>
      </x:c>
    </x:row>
    <x:row r="311" ht="15" hidden="0" customHeight="1">
      <x:c r="A311" s="34" t="str">
        <x:v>STU0029</x:v>
      </x:c>
      <x:c r="B311" s="35" t="str">
        <x:v>CSE1OOF - Practical demonstration</x:v>
      </x:c>
      <x:c r="C311" s="35" t="n">
        <x:v>60</x:v>
      </x:c>
      <x:c r="D311"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311" s="36" t="str">
        <x:v>SILO2: abstract data types and encapsulation to localise and minimise change; SILO3: code sharing and reuse through object-oriented techniques to reduce development time; SILO4: object-oriented design and implementation of computer programs for real-life problems</x:v>
      </x:c>
      <x:c r="F311" s="35" t="n">
        <x:v>0.2</x:v>
      </x:c>
      <x:c r="G311" s="37" t="n">
        <x:f>C311*F311</x:f>
        <x:v>12</x:v>
      </x:c>
    </x:row>
    <x:row r="312" ht="15" hidden="0" customHeight="1">
      <x:c r="A312" s="34" t="str">
        <x:v>STU0029</x:v>
      </x:c>
      <x:c r="B312" s="35" t="str">
        <x:v>CSE1OOF - Assignment</x:v>
      </x:c>
      <x:c r="C312" s="35" t="n">
        <x:v>62</x:v>
      </x:c>
      <x:c r="D312"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312" s="36" t="str">
        <x:v>SILO2: abstract data types and encapsulation to localise and minimise change; SILO3: code sharing and reuse through object-oriented techniques to reduce development time; SILO4: object-oriented design and implementation of computer programs for real-life problems</x:v>
      </x:c>
      <x:c r="F312" s="35" t="n">
        <x:v>0.25</x:v>
      </x:c>
      <x:c r="G312" s="37" t="n">
        <x:f>C312*F312</x:f>
        <x:v>15.5</x:v>
      </x:c>
    </x:row>
    <x:row r="313" ht="15" hidden="0" customHeight="1">
      <x:c r="A313" s="34" t="str">
        <x:v>STU0029</x:v>
      </x:c>
      <x:c r="B313" s="35" t="str">
        <x:v>CSE1OOF - Central examination</x:v>
      </x:c>
      <x:c r="C313" s="35" t="n">
        <x:v>58</x:v>
      </x:c>
      <x:c r="D313" s="36" t="str">
        <x:v>This developing result meets the core requirements but needs greater consistency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Future work should focus on consolidating the underlying concepts, applying them more consistently and explaining design or implementation decisions with stronger evidence.</x:v>
      </x:c>
      <x:c r="E313"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313" s="35" t="n">
        <x:v>0.4</x:v>
      </x:c>
      <x:c r="G313" s="37" t="n">
        <x:f>C313*F313</x:f>
        <x:v>23.200000000000003</x:v>
      </x:c>
    </x:row>
    <x:row r="314" ht="15" hidden="0" customHeight="1">
      <x:c r="A314" s="34" t="str">
        <x:v>STU0029</x:v>
      </x:c>
      <x:c r="B314" s="35" t="str">
        <x:v>CSE2ALG - Test</x:v>
      </x:c>
      <x:c r="C314" s="35" t="n">
        <x:v>57</x:v>
      </x:c>
      <x:c r="D314"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314" s="36" t="str">
        <x:v>SILO1: overall objectives of Algorithms and Data Structures; SILO2: identifying data structures and searching and sorting algorithms in computing contexts; SILO3: implementing data structures and searching and sorting algorithms in Java</x:v>
      </x:c>
      <x:c r="F314" s="35" t="n">
        <x:v>0.2</x:v>
      </x:c>
      <x:c r="G314" s="37" t="n">
        <x:f>C314*F314</x:f>
        <x:v>11.4</x:v>
      </x:c>
    </x:row>
    <x:row r="315" ht="15" hidden="0" customHeight="1">
      <x:c r="A315" s="34" t="str">
        <x:v>STU0029</x:v>
      </x:c>
      <x:c r="B315" s="35" t="str">
        <x:v>CSE2ALG - Assignment</x:v>
      </x:c>
      <x:c r="C315" s="35" t="n">
        <x:v>62</x:v>
      </x:c>
      <x:c r="D315"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315"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315" s="35" t="n">
        <x:v>0.3</x:v>
      </x:c>
      <x:c r="G315" s="37" t="n">
        <x:f>C315*F315</x:f>
        <x:v>18.599999999999998</x:v>
      </x:c>
    </x:row>
    <x:row r="316" ht="15" hidden="0" customHeight="1">
      <x:c r="A316" s="34" t="str">
        <x:v>STU0029</x:v>
      </x:c>
      <x:c r="B316" s="35" t="str">
        <x:v>CSE2ALG - Central examination</x:v>
      </x:c>
      <x:c r="C316" s="35" t="n">
        <x:v>59</x:v>
      </x:c>
      <x:c r="D316" s="36" t="str">
        <x:v>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x:v>
      </x:c>
      <x:c r="E316"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316" s="35" t="n">
        <x:v>0.5</x:v>
      </x:c>
      <x:c r="G316" s="37" t="n">
        <x:f>C316*F316</x:f>
        <x:v>29.5</x:v>
      </x:c>
    </x:row>
    <x:row r="317" ht="15" hidden="0" customHeight="1">
      <x:c r="A317" s="34" t="str">
        <x:v>STU0029</x:v>
      </x:c>
      <x:c r="B317" s="35" t="str">
        <x:v>CSE3CAP - Oral presentation: Project Milestone Presentation</x:v>
      </x:c>
      <x:c r="C317" s="35" t="n">
        <x:v>59</x:v>
      </x:c>
      <x:c r="D317"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317" s="36" t="str">
        <x:v>SILO3: reporting project outcomes to technical and non-technical audiences and reflecting on feedback</x:v>
      </x:c>
      <x:c r="F317" s="35" t="n">
        <x:v>0.1</x:v>
      </x:c>
      <x:c r="G317" s="37" t="n">
        <x:f>C317*F317</x:f>
        <x:v>5.9</x:v>
      </x:c>
    </x:row>
    <x:row r="318" ht="15" hidden="0" customHeight="1">
      <x:c r="A318" s="34" t="str">
        <x:v>STU0029</x:v>
      </x:c>
      <x:c r="B318" s="35" t="str">
        <x:v>CSE3CAP - Oral presentation: Final Project Presentation</x:v>
      </x:c>
      <x:c r="C318" s="35" t="n">
        <x:v>63</x:v>
      </x:c>
      <x:c r="D318"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318" s="36" t="str">
        <x:v>SILO3: reporting project outcomes to technical and non-technical audiences and reflecting on feedback</x:v>
      </x:c>
      <x:c r="F318" s="35" t="n">
        <x:v>0.2</x:v>
      </x:c>
      <x:c r="G318" s="37" t="n">
        <x:f>C318*F318</x:f>
        <x:v>12.600000000000001</x:v>
      </x:c>
    </x:row>
    <x:row r="319" ht="15" hidden="0" customHeight="1">
      <x:c r="A319" s="34" t="str">
        <x:v>STU0029</x:v>
      </x:c>
      <x:c r="B319" s="35" t="str">
        <x:v>CSE3CAP - Assignment: Final written Project Report</x:v>
      </x:c>
      <x:c r="C319" s="35" t="n">
        <x:v>57</x:v>
      </x:c>
      <x:c r="D319"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319" s="36" t="str">
        <x:v>SILO2: industry standard technical solutions in software or cybersecurity practice; SILO4: professional system documentation and advanced technical reporting to industry standards</x:v>
      </x:c>
      <x:c r="F319" s="35" t="n">
        <x:v>0.35</x:v>
      </x:c>
      <x:c r="G319" s="37" t="n">
        <x:f>C319*F319</x:f>
        <x:v>19.95</x:v>
      </x:c>
    </x:row>
    <x:row r="320" ht="15" hidden="0" customHeight="1">
      <x:c r="A320" s="34" t="str">
        <x:v>STU0029</x:v>
      </x:c>
      <x:c r="B320" s="35" t="str">
        <x:v>CSE3CAP - Assignment: Sprint Project management reports</x:v>
      </x:c>
      <x:c r="C320" s="35" t="n">
        <x:v>60</x:v>
      </x:c>
      <x:c r="D320"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320" s="36" t="str">
        <x:v>SILO1: advanced project management during substantive development implementation; SILO2: industry standard technical solutions in software or cybersecurity practice</x:v>
      </x:c>
      <x:c r="F320" s="35" t="n">
        <x:v>0.35</x:v>
      </x:c>
      <x:c r="G320" s="37" t="n">
        <x:f>C320*F320</x:f>
        <x:v>21</x:v>
      </x:c>
    </x:row>
    <x:row r="321" ht="15" hidden="0" customHeight="1">
      <x:c r="A321" s="34" t="str">
        <x:v>STU0030</x:v>
      </x:c>
      <x:c r="B321" s="35" t="str">
        <x:v>CSE1OOF - Test</x:v>
      </x:c>
      <x:c r="C321" s="35" t="n">
        <x:v>67</x:v>
      </x:c>
      <x:c r="D321"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321" s="36" t="str">
        <x:v>SILO1: analysis/design/implementation compared with object-oriented modelling using objects that combine data structure and behaviour; SILO2: abstract data types and encapsulation to localise and minimise change</x:v>
      </x:c>
      <x:c r="F321" s="35" t="n">
        <x:v>0.15</x:v>
      </x:c>
      <x:c r="G321" s="37" t="n">
        <x:f>C321*F321</x:f>
        <x:v>10.049999999999999</x:v>
      </x:c>
    </x:row>
    <x:row r="322" ht="15" hidden="0" customHeight="1">
      <x:c r="A322" s="34" t="str">
        <x:v>STU0030</x:v>
      </x:c>
      <x:c r="B322" s="35" t="str">
        <x:v>CSE1OOF - Practical demonstration</x:v>
      </x:c>
      <x:c r="C322" s="35" t="n">
        <x:v>67</x:v>
      </x:c>
      <x:c r="D322"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322" s="36" t="str">
        <x:v>SILO2: abstract data types and encapsulation to localise and minimise change; SILO3: code sharing and reuse through object-oriented techniques to reduce development time; SILO4: object-oriented design and implementation of computer programs for real-life problems</x:v>
      </x:c>
      <x:c r="F322" s="35" t="n">
        <x:v>0.2</x:v>
      </x:c>
      <x:c r="G322" s="37" t="n">
        <x:f>C322*F322</x:f>
        <x:v>13.4</x:v>
      </x:c>
    </x:row>
    <x:row r="323" ht="15" hidden="0" customHeight="1">
      <x:c r="A323" s="34" t="str">
        <x:v>STU0030</x:v>
      </x:c>
      <x:c r="B323" s="35" t="str">
        <x:v>CSE1OOF - Assignment</x:v>
      </x:c>
      <x:c r="C323" s="35" t="n">
        <x:v>62</x:v>
      </x:c>
      <x:c r="D323"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323" s="36" t="str">
        <x:v>SILO2: abstract data types and encapsulation to localise and minimise change; SILO3: code sharing and reuse through object-oriented techniques to reduce development time; SILO4: object-oriented design and implementation of computer programs for real-life problems</x:v>
      </x:c>
      <x:c r="F323" s="35" t="n">
        <x:v>0.25</x:v>
      </x:c>
      <x:c r="G323" s="37" t="n">
        <x:f>C323*F323</x:f>
        <x:v>15.5</x:v>
      </x:c>
    </x:row>
    <x:row r="324" ht="15" hidden="0" customHeight="1">
      <x:c r="A324" s="34" t="str">
        <x:v>STU0030</x:v>
      </x:c>
      <x:c r="B324" s="35" t="str">
        <x:v>CSE1OOF - Central examination</x:v>
      </x:c>
      <x:c r="C324" s="35" t="n">
        <x:v>63</x:v>
      </x:c>
      <x:c r="D324" s="36" t="str">
        <x:v>This developing result meets the core requirements but needs greater consistency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Future work should focus on consolidating the underlying concepts, applying them more consistently and explaining design or implementation decisions with stronger evidence.</x:v>
      </x:c>
      <x:c r="E324"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324" s="35" t="n">
        <x:v>0.4</x:v>
      </x:c>
      <x:c r="G324" s="37" t="n">
        <x:f>C324*F324</x:f>
        <x:v>25.200000000000003</x:v>
      </x:c>
    </x:row>
    <x:row r="325" ht="15" hidden="0" customHeight="1">
      <x:c r="A325" s="34" t="str">
        <x:v>STU0030</x:v>
      </x:c>
      <x:c r="B325" s="35" t="str">
        <x:v>CSE2ALG - Test</x:v>
      </x:c>
      <x:c r="C325" s="35" t="n">
        <x:v>63</x:v>
      </x:c>
      <x:c r="D325"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325" s="36" t="str">
        <x:v>SILO1: overall objectives of Algorithms and Data Structures; SILO2: identifying data structures and searching and sorting algorithms in computing contexts; SILO3: implementing data structures and searching and sorting algorithms in Java</x:v>
      </x:c>
      <x:c r="F325" s="35" t="n">
        <x:v>0.2</x:v>
      </x:c>
      <x:c r="G325" s="37" t="n">
        <x:f>C325*F325</x:f>
        <x:v>12.600000000000001</x:v>
      </x:c>
    </x:row>
    <x:row r="326" ht="15" hidden="0" customHeight="1">
      <x:c r="A326" s="34" t="str">
        <x:v>STU0030</x:v>
      </x:c>
      <x:c r="B326" s="35" t="str">
        <x:v>CSE2ALG - Assignment</x:v>
      </x:c>
      <x:c r="C326" s="35" t="n">
        <x:v>66</x:v>
      </x:c>
      <x:c r="D326" s="36" t="str">
        <x:v>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x:v>
      </x:c>
      <x:c r="E326"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326" s="35" t="n">
        <x:v>0.3</x:v>
      </x:c>
      <x:c r="G326" s="37" t="n">
        <x:f>C326*F326</x:f>
        <x:v>19.8</x:v>
      </x:c>
    </x:row>
    <x:row r="327" ht="15" hidden="0" customHeight="1">
      <x:c r="A327" s="34" t="str">
        <x:v>STU0030</x:v>
      </x:c>
      <x:c r="B327" s="35" t="str">
        <x:v>CSE2ALG - Central examination</x:v>
      </x:c>
      <x:c r="C327" s="35" t="n">
        <x:v>63</x:v>
      </x:c>
      <x:c r="D327" s="36" t="str">
        <x:v>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x:v>
      </x:c>
      <x:c r="E327"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327" s="35" t="n">
        <x:v>0.5</x:v>
      </x:c>
      <x:c r="G327" s="37" t="n">
        <x:f>C327*F327</x:f>
        <x:v>31.5</x:v>
      </x:c>
    </x:row>
    <x:row r="328" ht="15" hidden="0" customHeight="1">
      <x:c r="A328" s="34" t="str">
        <x:v>STU0030</x:v>
      </x:c>
      <x:c r="B328" s="35" t="str">
        <x:v>CSE3CAP - Oral presentation: Project Milestone Presentation</x:v>
      </x:c>
      <x:c r="C328" s="35" t="n">
        <x:v>63</x:v>
      </x:c>
      <x:c r="D328"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328" s="36" t="str">
        <x:v>SILO3: reporting project outcomes to technical and non-technical audiences and reflecting on feedback</x:v>
      </x:c>
      <x:c r="F328" s="35" t="n">
        <x:v>0.1</x:v>
      </x:c>
      <x:c r="G328" s="37" t="n">
        <x:f>C328*F328</x:f>
        <x:v>6.300000000000001</x:v>
      </x:c>
    </x:row>
    <x:row r="329" ht="15" hidden="0" customHeight="1">
      <x:c r="A329" s="34" t="str">
        <x:v>STU0030</x:v>
      </x:c>
      <x:c r="B329" s="35" t="str">
        <x:v>CSE3CAP - Oral presentation: Final Project Presentation</x:v>
      </x:c>
      <x:c r="C329" s="35" t="n">
        <x:v>69</x:v>
      </x:c>
      <x:c r="D329"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329" s="36" t="str">
        <x:v>SILO3: reporting project outcomes to technical and non-technical audiences and reflecting on feedback</x:v>
      </x:c>
      <x:c r="F329" s="35" t="n">
        <x:v>0.2</x:v>
      </x:c>
      <x:c r="G329" s="37" t="n">
        <x:f>C329*F329</x:f>
        <x:v>13.8</x:v>
      </x:c>
    </x:row>
    <x:row r="330" ht="15" hidden="0" customHeight="1">
      <x:c r="A330" s="34" t="str">
        <x:v>STU0030</x:v>
      </x:c>
      <x:c r="B330" s="35" t="str">
        <x:v>CSE3CAP - Assignment: Final written Project Report</x:v>
      </x:c>
      <x:c r="C330" s="35" t="n">
        <x:v>66</x:v>
      </x:c>
      <x:c r="D330" s="36" t="str">
        <x:v>This sound result shows a competent and generally reliable grasp of the relevant learning themes, particularly industry standard technical solutions in software or cybersecurity practice and professional system documentation and advanced technical reporting to industry standards. To strengthen the result, the student should provide clearer reasoning, improve technical precision and show more complete testing or reflection.</x:v>
      </x:c>
      <x:c r="E330" s="36" t="str">
        <x:v>SILO2: industry standard technical solutions in software or cybersecurity practice; SILO4: professional system documentation and advanced technical reporting to industry standards</x:v>
      </x:c>
      <x:c r="F330" s="35" t="n">
        <x:v>0.35</x:v>
      </x:c>
      <x:c r="G330" s="37" t="n">
        <x:f>C330*F330</x:f>
        <x:v>23.099999999999998</x:v>
      </x:c>
    </x:row>
    <x:row r="331" ht="15" hidden="0" customHeight="1">
      <x:c r="A331" s="34" t="str">
        <x:v>STU0030</x:v>
      </x:c>
      <x:c r="B331" s="35" t="str">
        <x:v>CSE3CAP - Assignment: Sprint Project management reports</x:v>
      </x:c>
      <x:c r="C331" s="35" t="n">
        <x:v>63</x:v>
      </x:c>
      <x:c r="D331"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331" s="36" t="str">
        <x:v>SILO1: advanced project management during substantive development implementation; SILO2: industry standard technical solutions in software or cybersecurity practice</x:v>
      </x:c>
      <x:c r="F331" s="35" t="n">
        <x:v>0.35</x:v>
      </x:c>
      <x:c r="G331" s="37" t="n">
        <x:f>C331*F331</x:f>
        <x:v>22.049999999999997</x:v>
      </x:c>
    </x:row>
    <x:row r="332" ht="15" hidden="0" customHeight="1">
      <x:c r="A332" s="34" t="str">
        <x:v>STU0031</x:v>
      </x:c>
      <x:c r="B332" s="35" t="str">
        <x:v>CSE1OOF - Test</x:v>
      </x:c>
      <x:c r="C332" s="35" t="n">
        <x:v>78</x:v>
      </x:c>
      <x:c r="D332" s="36" t="str">
        <x:v>This strong result shows well-developed understanding of the relevant learning themes, particularly analysis/design/implementation compared with object-oriented modelling using objects that combine data structure and behaviour and abstract data types and encapsulation to localise and minimise change. Further improvement would come from deeper justification, more consistent evaluation evidence and tighter links between decisions and implementation details.</x:v>
      </x:c>
      <x:c r="E332" s="36" t="str">
        <x:v>SILO1: analysis/design/implementation compared with object-oriented modelling using objects that combine data structure and behaviour; SILO2: abstract data types and encapsulation to localise and minimise change</x:v>
      </x:c>
      <x:c r="F332" s="35" t="n">
        <x:v>0.15</x:v>
      </x:c>
      <x:c r="G332" s="37" t="n">
        <x:f>C332*F332</x:f>
        <x:v>11.7</x:v>
      </x:c>
    </x:row>
    <x:row r="333" ht="15" hidden="0" customHeight="1">
      <x:c r="A333" s="34" t="str">
        <x:v>STU0031</x:v>
      </x:c>
      <x:c r="B333" s="35" t="str">
        <x:v>CSE1OOF - Practical demonstration</x:v>
      </x:c>
      <x:c r="C333" s="35" t="n">
        <x:v>76</x:v>
      </x:c>
      <x:c r="D333"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333" s="36" t="str">
        <x:v>SILO2: abstract data types and encapsulation to localise and minimise change; SILO3: code sharing and reuse through object-oriented techniques to reduce development time; SILO4: object-oriented design and implementation of computer programs for real-life problems</x:v>
      </x:c>
      <x:c r="F333" s="35" t="n">
        <x:v>0.2</x:v>
      </x:c>
      <x:c r="G333" s="37" t="n">
        <x:f>C333*F333</x:f>
        <x:v>15.200000000000001</x:v>
      </x:c>
    </x:row>
    <x:row r="334" ht="15" hidden="0" customHeight="1">
      <x:c r="A334" s="34" t="str">
        <x:v>STU0031</x:v>
      </x:c>
      <x:c r="B334" s="35" t="str">
        <x:v>CSE1OOF - Assignment</x:v>
      </x:c>
      <x:c r="C334" s="35" t="n">
        <x:v>76</x:v>
      </x:c>
      <x:c r="D334"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334" s="36" t="str">
        <x:v>SILO2: abstract data types and encapsulation to localise and minimise change; SILO3: code sharing and reuse through object-oriented techniques to reduce development time; SILO4: object-oriented design and implementation of computer programs for real-life problems</x:v>
      </x:c>
      <x:c r="F334" s="35" t="n">
        <x:v>0.25</x:v>
      </x:c>
      <x:c r="G334" s="37" t="n">
        <x:f>C334*F334</x:f>
        <x:v>19</x:v>
      </x:c>
    </x:row>
    <x:row r="335" ht="15" hidden="0" customHeight="1">
      <x:c r="A335" s="34" t="str">
        <x:v>STU0031</x:v>
      </x:c>
      <x:c r="B335" s="35" t="str">
        <x:v>CSE1OOF - Central examination</x:v>
      </x:c>
      <x:c r="C335" s="35" t="n">
        <x:v>80</x:v>
      </x:c>
      <x:c r="D335" s="36" t="str">
        <x:v>This strong result shows well-developed understanding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Further improvement would come from deeper justification, more consistent evaluation evidence and tighter links between decisions and implementation details.</x:v>
      </x:c>
      <x:c r="E335"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335" s="35" t="n">
        <x:v>0.4</x:v>
      </x:c>
      <x:c r="G335" s="37" t="n">
        <x:f>C335*F335</x:f>
        <x:v>32</x:v>
      </x:c>
    </x:row>
    <x:row r="336" ht="15" hidden="0" customHeight="1">
      <x:c r="A336" s="34" t="str">
        <x:v>STU0031</x:v>
      </x:c>
      <x:c r="B336" s="35" t="str">
        <x:v>CSE2ALG - Test</x:v>
      </x:c>
      <x:c r="C336" s="35" t="n">
        <x:v>86</x:v>
      </x:c>
      <x:c r="D336" s="36" t="str">
        <x:v>This excellent result demonstrates confident and independent command of the relevant learning themes, particularly overall objectives of Algorithms and Data Structures, identifying data structures and searching and sorting algorithms in computing contexts, and implementing data structures and searching and sorting algorithms in Java. The work is clear, accurate and well justified, with only minor opportunities to further polish explanation or evaluation.</x:v>
      </x:c>
      <x:c r="E336" s="36" t="str">
        <x:v>SILO1: overall objectives of Algorithms and Data Structures; SILO2: identifying data structures and searching and sorting algorithms in computing contexts; SILO3: implementing data structures and searching and sorting algorithms in Java</x:v>
      </x:c>
      <x:c r="F336" s="35" t="n">
        <x:v>0.2</x:v>
      </x:c>
      <x:c r="G336" s="37" t="n">
        <x:f>C336*F336</x:f>
        <x:v>17.2</x:v>
      </x:c>
    </x:row>
    <x:row r="337" ht="15" hidden="0" customHeight="1">
      <x:c r="A337" s="34" t="str">
        <x:v>STU0031</x:v>
      </x:c>
      <x:c r="B337" s="35" t="str">
        <x:v>CSE2ALG - Assignment</x:v>
      </x:c>
      <x:c r="C337" s="35" t="n">
        <x:v>87</x:v>
      </x:c>
      <x:c r="D337" s="36" t="str">
        <x:v>This excellent result demonstrates confident and independent command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The work is clear, accurate and well justified, with only minor opportunities to further polish explanation or evaluation.</x:v>
      </x:c>
      <x:c r="E337"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337" s="35" t="n">
        <x:v>0.3</x:v>
      </x:c>
      <x:c r="G337" s="37" t="n">
        <x:f>C337*F337</x:f>
        <x:v>26.099999999999998</x:v>
      </x:c>
    </x:row>
    <x:row r="338" ht="15" hidden="0" customHeight="1">
      <x:c r="A338" s="34" t="str">
        <x:v>STU0031</x:v>
      </x:c>
      <x:c r="B338" s="35" t="str">
        <x:v>CSE2ALG - Central examination</x:v>
      </x:c>
      <x:c r="C338" s="35" t="n">
        <x:v>88</x:v>
      </x:c>
      <x:c r="D338" s="36" t="str">
        <x:v>This excellent result demonstrates confident and independent command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The work is clear, accurate and well justified, with only minor opportunities to further polish explanation or evaluation.</x:v>
      </x:c>
      <x:c r="E338"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338" s="35" t="n">
        <x:v>0.5</x:v>
      </x:c>
      <x:c r="G338" s="37" t="n">
        <x:f>C338*F338</x:f>
        <x:v>44</x:v>
      </x:c>
    </x:row>
    <x:row r="339" ht="15" hidden="0" customHeight="1">
      <x:c r="A339" s="34" t="str">
        <x:v>STU0031</x:v>
      </x:c>
      <x:c r="B339" s="35" t="str">
        <x:v>CSE3CAP - Oral presentation: Project Milestone Presentation</x:v>
      </x:c>
      <x:c r="C339" s="35" t="n">
        <x:v>88</x:v>
      </x:c>
      <x:c r="D339" s="36" t="str">
        <x:v>This excellent result demonstrates confident and independent command of the relevant learning themes, particularly reporting project outcomes to technical and non-technical audiences and reflecting on feedback. The work is clear, accurate and well justified, with only minor opportunities to further polish explanation or evaluation.</x:v>
      </x:c>
      <x:c r="E339" s="36" t="str">
        <x:v>SILO3: reporting project outcomes to technical and non-technical audiences and reflecting on feedback</x:v>
      </x:c>
      <x:c r="F339" s="35" t="n">
        <x:v>0.1</x:v>
      </x:c>
      <x:c r="G339" s="37" t="n">
        <x:f>C339*F339</x:f>
        <x:v>8.8</x:v>
      </x:c>
    </x:row>
    <x:row r="340" ht="15" hidden="0" customHeight="1">
      <x:c r="A340" s="34" t="str">
        <x:v>STU0031</x:v>
      </x:c>
      <x:c r="B340" s="35" t="str">
        <x:v>CSE3CAP - Oral presentation: Final Project Presentation</x:v>
      </x:c>
      <x:c r="C340" s="35" t="n">
        <x:v>87</x:v>
      </x:c>
      <x:c r="D340" s="36" t="str">
        <x:v>This excellent result demonstrates confident and independent command of the relevant learning themes, particularly reporting project outcomes to technical and non-technical audiences and reflecting on feedback. The work is clear, accurate and well justified, with only minor opportunities to further polish explanation or evaluation.</x:v>
      </x:c>
      <x:c r="E340" s="36" t="str">
        <x:v>SILO3: reporting project outcomes to technical and non-technical audiences and reflecting on feedback</x:v>
      </x:c>
      <x:c r="F340" s="35" t="n">
        <x:v>0.2</x:v>
      </x:c>
      <x:c r="G340" s="37" t="n">
        <x:f>C340*F340</x:f>
        <x:v>17.400000000000002</x:v>
      </x:c>
    </x:row>
    <x:row r="341" ht="15" hidden="0" customHeight="1">
      <x:c r="A341" s="34" t="str">
        <x:v>STU0031</x:v>
      </x:c>
      <x:c r="B341" s="35" t="str">
        <x:v>CSE3CAP - Assignment: Final written Project Report</x:v>
      </x:c>
      <x:c r="C341" s="35" t="n">
        <x:v>87</x:v>
      </x:c>
      <x:c r="D341" s="36" t="str">
        <x:v>This excellent result demonstrates confident and independent command of the relevant learning themes, particularly industry standard technical solutions in software or cybersecurity practice and professional system documentation and advanced technical reporting to industry standards. The work is clear, accurate and well justified, with only minor opportunities to further polish explanation or evaluation.</x:v>
      </x:c>
      <x:c r="E341" s="36" t="str">
        <x:v>SILO2: industry standard technical solutions in software or cybersecurity practice; SILO4: professional system documentation and advanced technical reporting to industry standards</x:v>
      </x:c>
      <x:c r="F341" s="35" t="n">
        <x:v>0.35</x:v>
      </x:c>
      <x:c r="G341" s="37" t="n">
        <x:f>C341*F341</x:f>
        <x:v>30.45</x:v>
      </x:c>
    </x:row>
    <x:row r="342" ht="15" hidden="0" customHeight="1">
      <x:c r="A342" s="34" t="str">
        <x:v>STU0031</x:v>
      </x:c>
      <x:c r="B342" s="35" t="str">
        <x:v>CSE3CAP - Assignment: Sprint Project management reports</x:v>
      </x:c>
      <x:c r="C342" s="35" t="n">
        <x:v>83</x:v>
      </x:c>
      <x:c r="D342" s="36" t="str">
        <x:v>This strong result shows well-developed understanding of the relevant learning themes, particularly advanced project management during substantive development implementation and industry standard technical solutions in software or cybersecurity practice. Further improvement would come from deeper justification, more consistent evaluation evidence and tighter links between decisions and implementation details.</x:v>
      </x:c>
      <x:c r="E342" s="36" t="str">
        <x:v>SILO1: advanced project management during substantive development implementation; SILO2: industry standard technical solutions in software or cybersecurity practice</x:v>
      </x:c>
      <x:c r="F342" s="35" t="n">
        <x:v>0.35</x:v>
      </x:c>
      <x:c r="G342" s="37" t="n">
        <x:f>C342*F342</x:f>
        <x:v>29.049999999999997</x:v>
      </x:c>
    </x:row>
    <x:row r="343" ht="15" hidden="0" customHeight="1">
      <x:c r="A343" s="34" t="str">
        <x:v>STU0032</x:v>
      </x:c>
      <x:c r="B343" s="35" t="str">
        <x:v>CSE1OOF - Test</x:v>
      </x:c>
      <x:c r="C343" s="35" t="n">
        <x:v>62</x:v>
      </x:c>
      <x:c r="D343"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343" s="36" t="str">
        <x:v>SILO1: analysis/design/implementation compared with object-oriented modelling using objects that combine data structure and behaviour; SILO2: abstract data types and encapsulation to localise and minimise change</x:v>
      </x:c>
      <x:c r="F343" s="35" t="n">
        <x:v>0.15</x:v>
      </x:c>
      <x:c r="G343" s="37" t="n">
        <x:f>C343*F343</x:f>
        <x:v>9.299999999999999</x:v>
      </x:c>
    </x:row>
    <x:row r="344" ht="15" hidden="0" customHeight="1">
      <x:c r="A344" s="34" t="str">
        <x:v>STU0032</x:v>
      </x:c>
      <x:c r="B344" s="35" t="str">
        <x:v>CSE1OOF - Practical demonstration</x:v>
      </x:c>
      <x:c r="C344" s="35" t="n">
        <x:v>59</x:v>
      </x:c>
      <x:c r="D344"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344" s="36" t="str">
        <x:v>SILO2: abstract data types and encapsulation to localise and minimise change; SILO3: code sharing and reuse through object-oriented techniques to reduce development time; SILO4: object-oriented design and implementation of computer programs for real-life problems</x:v>
      </x:c>
      <x:c r="F344" s="35" t="n">
        <x:v>0.2</x:v>
      </x:c>
      <x:c r="G344" s="37" t="n">
        <x:f>C344*F344</x:f>
        <x:v>11.8</x:v>
      </x:c>
    </x:row>
    <x:row r="345" ht="15" hidden="0" customHeight="1">
      <x:c r="A345" s="34" t="str">
        <x:v>STU0032</x:v>
      </x:c>
      <x:c r="B345" s="35" t="str">
        <x:v>CSE1OOF - Assignment</x:v>
      </x:c>
      <x:c r="C345" s="35" t="n">
        <x:v>64</x:v>
      </x:c>
      <x:c r="D345"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345" s="36" t="str">
        <x:v>SILO2: abstract data types and encapsulation to localise and minimise change; SILO3: code sharing and reuse through object-oriented techniques to reduce development time; SILO4: object-oriented design and implementation of computer programs for real-life problems</x:v>
      </x:c>
      <x:c r="F345" s="35" t="n">
        <x:v>0.25</x:v>
      </x:c>
      <x:c r="G345" s="37" t="n">
        <x:f>C345*F345</x:f>
        <x:v>16</x:v>
      </x:c>
    </x:row>
    <x:row r="346" ht="15" hidden="0" customHeight="1">
      <x:c r="A346" s="34" t="str">
        <x:v>STU0032</x:v>
      </x:c>
      <x:c r="B346" s="35" t="str">
        <x:v>CSE1OOF - Central examination</x:v>
      </x:c>
      <x:c r="C346" s="35" t="n">
        <x:v>59</x:v>
      </x:c>
      <x:c r="D346" s="36" t="str">
        <x:v>This developing result meets the core requirements but needs greater consistency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Future work should focus on consolidating the underlying concepts, applying them more consistently and explaining design or implementation decisions with stronger evidence.</x:v>
      </x:c>
      <x:c r="E346"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346" s="35" t="n">
        <x:v>0.4</x:v>
      </x:c>
      <x:c r="G346" s="37" t="n">
        <x:f>C346*F346</x:f>
        <x:v>23.6</x:v>
      </x:c>
    </x:row>
    <x:row r="347" ht="15" hidden="0" customHeight="1">
      <x:c r="A347" s="34" t="str">
        <x:v>STU0032</x:v>
      </x:c>
      <x:c r="B347" s="35" t="str">
        <x:v>CSE2ALG - Test</x:v>
      </x:c>
      <x:c r="C347" s="35" t="n">
        <x:v>65</x:v>
      </x:c>
      <x:c r="D347"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347" s="36" t="str">
        <x:v>SILO1: overall objectives of Algorithms and Data Structures; SILO2: identifying data structures and searching and sorting algorithms in computing contexts; SILO3: implementing data structures and searching and sorting algorithms in Java</x:v>
      </x:c>
      <x:c r="F347" s="35" t="n">
        <x:v>0.2</x:v>
      </x:c>
      <x:c r="G347" s="37" t="n">
        <x:f>C347*F347</x:f>
        <x:v>13</x:v>
      </x:c>
    </x:row>
    <x:row r="348" ht="15" hidden="0" customHeight="1">
      <x:c r="A348" s="34" t="str">
        <x:v>STU0032</x:v>
      </x:c>
      <x:c r="B348" s="35" t="str">
        <x:v>CSE2ALG - Assignment</x:v>
      </x:c>
      <x:c r="C348" s="35" t="n">
        <x:v>62</x:v>
      </x:c>
      <x:c r="D348"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348"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348" s="35" t="n">
        <x:v>0.3</x:v>
      </x:c>
      <x:c r="G348" s="37" t="n">
        <x:f>C348*F348</x:f>
        <x:v>18.599999999999998</x:v>
      </x:c>
    </x:row>
    <x:row r="349" ht="15" hidden="0" customHeight="1">
      <x:c r="A349" s="34" t="str">
        <x:v>STU0032</x:v>
      </x:c>
      <x:c r="B349" s="35" t="str">
        <x:v>CSE2ALG - Central examination</x:v>
      </x:c>
      <x:c r="C349" s="35" t="n">
        <x:v>63</x:v>
      </x:c>
      <x:c r="D349" s="36" t="str">
        <x:v>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x:v>
      </x:c>
      <x:c r="E349"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349" s="35" t="n">
        <x:v>0.5</x:v>
      </x:c>
      <x:c r="G349" s="37" t="n">
        <x:f>C349*F349</x:f>
        <x:v>31.5</x:v>
      </x:c>
    </x:row>
    <x:row r="350" ht="15" hidden="0" customHeight="1">
      <x:c r="A350" s="34" t="str">
        <x:v>STU0032</x:v>
      </x:c>
      <x:c r="B350" s="35" t="str">
        <x:v>CSE3CAP - Oral presentation: Project Milestone Presentation</x:v>
      </x:c>
      <x:c r="C350" s="35" t="n">
        <x:v>65</x:v>
      </x:c>
      <x:c r="D350"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350" s="36" t="str">
        <x:v>SILO3: reporting project outcomes to technical and non-technical audiences and reflecting on feedback</x:v>
      </x:c>
      <x:c r="F350" s="35" t="n">
        <x:v>0.1</x:v>
      </x:c>
      <x:c r="G350" s="37" t="n">
        <x:f>C350*F350</x:f>
        <x:v>6.5</x:v>
      </x:c>
    </x:row>
    <x:row r="351" ht="15" hidden="0" customHeight="1">
      <x:c r="A351" s="34" t="str">
        <x:v>STU0032</x:v>
      </x:c>
      <x:c r="B351" s="35" t="str">
        <x:v>CSE3CAP - Oral presentation: Final Project Presentation</x:v>
      </x:c>
      <x:c r="C351" s="35" t="n">
        <x:v>64</x:v>
      </x:c>
      <x:c r="D351"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351" s="36" t="str">
        <x:v>SILO3: reporting project outcomes to technical and non-technical audiences and reflecting on feedback</x:v>
      </x:c>
      <x:c r="F351" s="35" t="n">
        <x:v>0.2</x:v>
      </x:c>
      <x:c r="G351" s="37" t="n">
        <x:f>C351*F351</x:f>
        <x:v>12.8</x:v>
      </x:c>
    </x:row>
    <x:row r="352" ht="15" hidden="0" customHeight="1">
      <x:c r="A352" s="34" t="str">
        <x:v>STU0032</x:v>
      </x:c>
      <x:c r="B352" s="35" t="str">
        <x:v>CSE3CAP - Assignment: Final written Project Report</x:v>
      </x:c>
      <x:c r="C352" s="35" t="n">
        <x:v>66</x:v>
      </x:c>
      <x:c r="D352" s="36" t="str">
        <x:v>This sound result shows a competent and generally reliable grasp of the relevant learning themes, particularly industry standard technical solutions in software or cybersecurity practice and professional system documentation and advanced technical reporting to industry standards. To strengthen the result, the student should provide clearer reasoning, improve technical precision and show more complete testing or reflection.</x:v>
      </x:c>
      <x:c r="E352" s="36" t="str">
        <x:v>SILO2: industry standard technical solutions in software or cybersecurity practice; SILO4: professional system documentation and advanced technical reporting to industry standards</x:v>
      </x:c>
      <x:c r="F352" s="35" t="n">
        <x:v>0.35</x:v>
      </x:c>
      <x:c r="G352" s="37" t="n">
        <x:f>C352*F352</x:f>
        <x:v>23.099999999999998</x:v>
      </x:c>
    </x:row>
    <x:row r="353" ht="15" hidden="0" customHeight="1">
      <x:c r="A353" s="34" t="str">
        <x:v>STU0032</x:v>
      </x:c>
      <x:c r="B353" s="35" t="str">
        <x:v>CSE3CAP - Assignment: Sprint Project management reports</x:v>
      </x:c>
      <x:c r="C353" s="35" t="n">
        <x:v>66</x:v>
      </x:c>
      <x:c r="D353" s="36" t="str">
        <x:v>This sound result shows a competent and generally reliable grasp of the relevant learning themes, particularly advanced project management during substantive development implementation and industry standard technical solutions in software or cybersecurity practice. To strengthen the result, the student should provide clearer reasoning, improve technical precision and show more complete testing or reflection.</x:v>
      </x:c>
      <x:c r="E353" s="36" t="str">
        <x:v>SILO1: advanced project management during substantive development implementation; SILO2: industry standard technical solutions in software or cybersecurity practice</x:v>
      </x:c>
      <x:c r="F353" s="35" t="n">
        <x:v>0.35</x:v>
      </x:c>
      <x:c r="G353" s="37" t="n">
        <x:f>C353*F353</x:f>
        <x:v>23.099999999999998</x:v>
      </x:c>
    </x:row>
    <x:row r="354" ht="15" hidden="0" customHeight="1">
      <x:c r="A354" s="34" t="str">
        <x:v>STU0033</x:v>
      </x:c>
      <x:c r="B354" s="35" t="str">
        <x:v>CSE1OOF - Test</x:v>
      </x:c>
      <x:c r="C354" s="35" t="n">
        <x:v>81</x:v>
      </x:c>
      <x:c r="D354" s="36" t="str">
        <x:v>This strong result shows well-developed understanding of the relevant learning themes, particularly analysis/design/implementation compared with object-oriented modelling using objects that combine data structure and behaviour and abstract data types and encapsulation to localise and minimise change. Further improvement would come from deeper justification, more consistent evaluation evidence and tighter links between decisions and implementation details.</x:v>
      </x:c>
      <x:c r="E354" s="36" t="str">
        <x:v>SILO1: analysis/design/implementation compared with object-oriented modelling using objects that combine data structure and behaviour; SILO2: abstract data types and encapsulation to localise and minimise change</x:v>
      </x:c>
      <x:c r="F354" s="35" t="n">
        <x:v>0.15</x:v>
      </x:c>
      <x:c r="G354" s="37" t="n">
        <x:f>C354*F354</x:f>
        <x:v>12.15</x:v>
      </x:c>
    </x:row>
    <x:row r="355" ht="15" hidden="0" customHeight="1">
      <x:c r="A355" s="34" t="str">
        <x:v>STU0033</x:v>
      </x:c>
      <x:c r="B355" s="35" t="str">
        <x:v>CSE1OOF - Practical demonstration</x:v>
      </x:c>
      <x:c r="C355" s="35" t="n">
        <x:v>82</x:v>
      </x:c>
      <x:c r="D355"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355" s="36" t="str">
        <x:v>SILO2: abstract data types and encapsulation to localise and minimise change; SILO3: code sharing and reuse through object-oriented techniques to reduce development time; SILO4: object-oriented design and implementation of computer programs for real-life problems</x:v>
      </x:c>
      <x:c r="F355" s="35" t="n">
        <x:v>0.2</x:v>
      </x:c>
      <x:c r="G355" s="37" t="n">
        <x:f>C355*F355</x:f>
        <x:v>16.400000000000002</x:v>
      </x:c>
    </x:row>
    <x:row r="356" ht="15" hidden="0" customHeight="1">
      <x:c r="A356" s="34" t="str">
        <x:v>STU0033</x:v>
      </x:c>
      <x:c r="B356" s="35" t="str">
        <x:v>CSE1OOF - Assignment</x:v>
      </x:c>
      <x:c r="C356" s="35" t="n">
        <x:v>81</x:v>
      </x:c>
      <x:c r="D356"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356" s="36" t="str">
        <x:v>SILO2: abstract data types and encapsulation to localise and minimise change; SILO3: code sharing and reuse through object-oriented techniques to reduce development time; SILO4: object-oriented design and implementation of computer programs for real-life problems</x:v>
      </x:c>
      <x:c r="F356" s="35" t="n">
        <x:v>0.25</x:v>
      </x:c>
      <x:c r="G356" s="37" t="n">
        <x:f>C356*F356</x:f>
        <x:v>20.25</x:v>
      </x:c>
    </x:row>
    <x:row r="357" ht="15" hidden="0" customHeight="1">
      <x:c r="A357" s="34" t="str">
        <x:v>STU0033</x:v>
      </x:c>
      <x:c r="B357" s="35" t="str">
        <x:v>CSE1OOF - Central examination</x:v>
      </x:c>
      <x:c r="C357" s="35" t="n">
        <x:v>83</x:v>
      </x:c>
      <x:c r="D357" s="36" t="str">
        <x:v>This strong result shows well-developed understanding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Further improvement would come from deeper justification, more consistent evaluation evidence and tighter links between decisions and implementation details.</x:v>
      </x:c>
      <x:c r="E357"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357" s="35" t="n">
        <x:v>0.4</x:v>
      </x:c>
      <x:c r="G357" s="37" t="n">
        <x:f>C357*F357</x:f>
        <x:v>33.2</x:v>
      </x:c>
    </x:row>
    <x:row r="358" ht="15" hidden="0" customHeight="1">
      <x:c r="A358" s="34" t="str">
        <x:v>STU0033</x:v>
      </x:c>
      <x:c r="B358" s="35" t="str">
        <x:v>CSE2ALG - Test</x:v>
      </x:c>
      <x:c r="C358" s="35" t="n">
        <x:v>80</x:v>
      </x:c>
      <x:c r="D358" s="36" t="str">
        <x:v>This strong result shows well-developed understanding of the relevant learning themes, particularly overall objectives of Algorithms and Data Structures, identifying data structures and searching and sorting algorithms in computing contexts, and implementing data structures and searching and sorting algorithms in Java. Further improvement would come from deeper justification, more consistent evaluation evidence and tighter links between decisions and implementation details.</x:v>
      </x:c>
      <x:c r="E358" s="36" t="str">
        <x:v>SILO1: overall objectives of Algorithms and Data Structures; SILO2: identifying data structures and searching and sorting algorithms in computing contexts; SILO3: implementing data structures and searching and sorting algorithms in Java</x:v>
      </x:c>
      <x:c r="F358" s="35" t="n">
        <x:v>0.2</x:v>
      </x:c>
      <x:c r="G358" s="37" t="n">
        <x:f>C358*F358</x:f>
        <x:v>16</x:v>
      </x:c>
    </x:row>
    <x:row r="359" ht="15" hidden="0" customHeight="1">
      <x:c r="A359" s="34" t="str">
        <x:v>STU0033</x:v>
      </x:c>
      <x:c r="B359" s="35" t="str">
        <x:v>CSE2ALG - Assignment</x:v>
      </x:c>
      <x:c r="C359" s="35" t="n">
        <x:v>82</x:v>
      </x:c>
      <x:c r="D359" s="36" t="str">
        <x:v>This strong result shows well-developed understanding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Further improvement would come from deeper justification, more consistent evaluation evidence and tighter links between decisions and implementation details.</x:v>
      </x:c>
      <x:c r="E359"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359" s="35" t="n">
        <x:v>0.3</x:v>
      </x:c>
      <x:c r="G359" s="37" t="n">
        <x:f>C359*F359</x:f>
        <x:v>24.599999999999998</x:v>
      </x:c>
    </x:row>
    <x:row r="360" ht="15" hidden="0" customHeight="1">
      <x:c r="A360" s="34" t="str">
        <x:v>STU0033</x:v>
      </x:c>
      <x:c r="B360" s="35" t="str">
        <x:v>CSE2ALG - Central examination</x:v>
      </x:c>
      <x:c r="C360" s="35" t="n">
        <x:v>82</x:v>
      </x:c>
      <x:c r="D360" s="36" t="str">
        <x:v>This strong result shows well-developed understanding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Further improvement would come from deeper justification, more consistent evaluation evidence and tighter links between decisions and implementation details.</x:v>
      </x:c>
      <x:c r="E360"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360" s="35" t="n">
        <x:v>0.5</x:v>
      </x:c>
      <x:c r="G360" s="37" t="n">
        <x:f>C360*F360</x:f>
        <x:v>41</x:v>
      </x:c>
    </x:row>
    <x:row r="361" ht="15" hidden="0" customHeight="1">
      <x:c r="A361" s="34" t="str">
        <x:v>STU0033</x:v>
      </x:c>
      <x:c r="B361" s="35" t="str">
        <x:v>CSE3CAP - Oral presentation: Project Milestone Presentation</x:v>
      </x:c>
      <x:c r="C361" s="35" t="n">
        <x:v>85</x:v>
      </x:c>
      <x:c r="D361" s="36" t="str">
        <x:v>This excellent result demonstrates confident and independent command of the relevant learning themes, particularly reporting project outcomes to technical and non-technical audiences and reflecting on feedback. The work is clear, accurate and well justified, with only minor opportunities to further polish explanation or evaluation.</x:v>
      </x:c>
      <x:c r="E361" s="36" t="str">
        <x:v>SILO3: reporting project outcomes to technical and non-technical audiences and reflecting on feedback</x:v>
      </x:c>
      <x:c r="F361" s="35" t="n">
        <x:v>0.1</x:v>
      </x:c>
      <x:c r="G361" s="37" t="n">
        <x:f>C361*F361</x:f>
        <x:v>8.5</x:v>
      </x:c>
    </x:row>
    <x:row r="362" ht="15" hidden="0" customHeight="1">
      <x:c r="A362" s="34" t="str">
        <x:v>STU0033</x:v>
      </x:c>
      <x:c r="B362" s="35" t="str">
        <x:v>CSE3CAP - Oral presentation: Final Project Presentation</x:v>
      </x:c>
      <x:c r="C362" s="35" t="n">
        <x:v>82</x:v>
      </x:c>
      <x:c r="D362"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362" s="36" t="str">
        <x:v>SILO3: reporting project outcomes to technical and non-technical audiences and reflecting on feedback</x:v>
      </x:c>
      <x:c r="F362" s="35" t="n">
        <x:v>0.2</x:v>
      </x:c>
      <x:c r="G362" s="37" t="n">
        <x:f>C362*F362</x:f>
        <x:v>16.400000000000002</x:v>
      </x:c>
    </x:row>
    <x:row r="363" ht="15" hidden="0" customHeight="1">
      <x:c r="A363" s="34" t="str">
        <x:v>STU0033</x:v>
      </x:c>
      <x:c r="B363" s="35" t="str">
        <x:v>CSE3CAP - Assignment: Final written Project Report</x:v>
      </x:c>
      <x:c r="C363" s="35" t="n">
        <x:v>85</x:v>
      </x:c>
      <x:c r="D363" s="36" t="str">
        <x:v>This excellent result demonstrates confident and independent command of the relevant learning themes, particularly industry standard technical solutions in software or cybersecurity practice and professional system documentation and advanced technical reporting to industry standards. The work is clear, accurate and well justified, with only minor opportunities to further polish explanation or evaluation.</x:v>
      </x:c>
      <x:c r="E363" s="36" t="str">
        <x:v>SILO2: industry standard technical solutions in software or cybersecurity practice; SILO4: professional system documentation and advanced technical reporting to industry standards</x:v>
      </x:c>
      <x:c r="F363" s="35" t="n">
        <x:v>0.35</x:v>
      </x:c>
      <x:c r="G363" s="37" t="n">
        <x:f>C363*F363</x:f>
        <x:v>29.749999999999996</x:v>
      </x:c>
    </x:row>
    <x:row r="364" ht="15" hidden="0" customHeight="1">
      <x:c r="A364" s="34" t="str">
        <x:v>STU0033</x:v>
      </x:c>
      <x:c r="B364" s="35" t="str">
        <x:v>CSE3CAP - Assignment: Sprint Project management reports</x:v>
      </x:c>
      <x:c r="C364" s="35" t="n">
        <x:v>79</x:v>
      </x:c>
      <x:c r="D364" s="36" t="str">
        <x:v>This strong result shows well-developed understanding of the relevant learning themes, particularly advanced project management during substantive development implementation and industry standard technical solutions in software or cybersecurity practice. Further improvement would come from deeper justification, more consistent evaluation evidence and tighter links between decisions and implementation details.</x:v>
      </x:c>
      <x:c r="E364" s="36" t="str">
        <x:v>SILO1: advanced project management during substantive development implementation; SILO2: industry standard technical solutions in software or cybersecurity practice</x:v>
      </x:c>
      <x:c r="F364" s="35" t="n">
        <x:v>0.35</x:v>
      </x:c>
      <x:c r="G364" s="37" t="n">
        <x:f>C364*F364</x:f>
        <x:v>27.65</x:v>
      </x:c>
    </x:row>
    <x:row r="365" ht="15" hidden="0" customHeight="1">
      <x:c r="A365" s="34" t="str">
        <x:v>STU0034</x:v>
      </x:c>
      <x:c r="B365" s="35" t="str">
        <x:v>CSE1OOF - Test</x:v>
      </x:c>
      <x:c r="C365" s="35" t="n">
        <x:v>71</x:v>
      </x:c>
      <x:c r="D365"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365" s="36" t="str">
        <x:v>SILO1: analysis/design/implementation compared with object-oriented modelling using objects that combine data structure and behaviour; SILO2: abstract data types and encapsulation to localise and minimise change</x:v>
      </x:c>
      <x:c r="F365" s="35" t="n">
        <x:v>0.15</x:v>
      </x:c>
      <x:c r="G365" s="37" t="n">
        <x:f>C365*F365</x:f>
        <x:v>10.65</x:v>
      </x:c>
    </x:row>
    <x:row r="366" ht="15" hidden="0" customHeight="1">
      <x:c r="A366" s="34" t="str">
        <x:v>STU0034</x:v>
      </x:c>
      <x:c r="B366" s="35" t="str">
        <x:v>CSE1OOF - Practical demonstration</x:v>
      </x:c>
      <x:c r="C366" s="35" t="n">
        <x:v>73</x:v>
      </x:c>
      <x:c r="D366"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366" s="36" t="str">
        <x:v>SILO2: abstract data types and encapsulation to localise and minimise change; SILO3: code sharing and reuse through object-oriented techniques to reduce development time; SILO4: object-oriented design and implementation of computer programs for real-life problems</x:v>
      </x:c>
      <x:c r="F366" s="35" t="n">
        <x:v>0.2</x:v>
      </x:c>
      <x:c r="G366" s="37" t="n">
        <x:f>C366*F366</x:f>
        <x:v>14.600000000000001</x:v>
      </x:c>
    </x:row>
    <x:row r="367" ht="15" hidden="0" customHeight="1">
      <x:c r="A367" s="34" t="str">
        <x:v>STU0034</x:v>
      </x:c>
      <x:c r="B367" s="35" t="str">
        <x:v>CSE1OOF - Assignment</x:v>
      </x:c>
      <x:c r="C367" s="35" t="n">
        <x:v>70</x:v>
      </x:c>
      <x:c r="D367"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367" s="36" t="str">
        <x:v>SILO2: abstract data types and encapsulation to localise and minimise change; SILO3: code sharing and reuse through object-oriented techniques to reduce development time; SILO4: object-oriented design and implementation of computer programs for real-life problems</x:v>
      </x:c>
      <x:c r="F367" s="35" t="n">
        <x:v>0.25</x:v>
      </x:c>
      <x:c r="G367" s="37" t="n">
        <x:f>C367*F367</x:f>
        <x:v>17.5</x:v>
      </x:c>
    </x:row>
    <x:row r="368" ht="15" hidden="0" customHeight="1">
      <x:c r="A368" s="34" t="str">
        <x:v>STU0034</x:v>
      </x:c>
      <x:c r="B368" s="35" t="str">
        <x:v>CSE1OOF - Central examination</x:v>
      </x:c>
      <x:c r="C368" s="35" t="n">
        <x:v>74</x:v>
      </x:c>
      <x:c r="D368"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368"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368" s="35" t="n">
        <x:v>0.4</x:v>
      </x:c>
      <x:c r="G368" s="37" t="n">
        <x:f>C368*F368</x:f>
        <x:v>29.6</x:v>
      </x:c>
    </x:row>
    <x:row r="369" ht="15" hidden="0" customHeight="1">
      <x:c r="A369" s="34" t="str">
        <x:v>STU0034</x:v>
      </x:c>
      <x:c r="B369" s="35" t="str">
        <x:v>CSE2ALG - Test</x:v>
      </x:c>
      <x:c r="C369" s="35" t="n">
        <x:v>71</x:v>
      </x:c>
      <x:c r="D369"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369" s="36" t="str">
        <x:v>SILO1: overall objectives of Algorithms and Data Structures; SILO2: identifying data structures and searching and sorting algorithms in computing contexts; SILO3: implementing data structures and searching and sorting algorithms in Java</x:v>
      </x:c>
      <x:c r="F369" s="35" t="n">
        <x:v>0.2</x:v>
      </x:c>
      <x:c r="G369" s="37" t="n">
        <x:f>C369*F369</x:f>
        <x:v>14.200000000000001</x:v>
      </x:c>
    </x:row>
    <x:row r="370" ht="15" hidden="0" customHeight="1">
      <x:c r="A370" s="34" t="str">
        <x:v>STU0034</x:v>
      </x:c>
      <x:c r="B370" s="35" t="str">
        <x:v>CSE2ALG - Assignment</x:v>
      </x:c>
      <x:c r="C370" s="35" t="n">
        <x:v>71</x:v>
      </x:c>
      <x:c r="D370" s="36" t="str">
        <x:v>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x:v>
      </x:c>
      <x:c r="E370"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370" s="35" t="n">
        <x:v>0.3</x:v>
      </x:c>
      <x:c r="G370" s="37" t="n">
        <x:f>C370*F370</x:f>
        <x:v>21.3</x:v>
      </x:c>
    </x:row>
    <x:row r="371" ht="15" hidden="0" customHeight="1">
      <x:c r="A371" s="34" t="str">
        <x:v>STU0034</x:v>
      </x:c>
      <x:c r="B371" s="35" t="str">
        <x:v>CSE2ALG - Central examination</x:v>
      </x:c>
      <x:c r="C371" s="35" t="n">
        <x:v>65</x:v>
      </x:c>
      <x:c r="D371"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371"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371" s="35" t="n">
        <x:v>0.5</x:v>
      </x:c>
      <x:c r="G371" s="37" t="n">
        <x:f>C371*F371</x:f>
        <x:v>32.5</x:v>
      </x:c>
    </x:row>
    <x:row r="372" ht="15" hidden="0" customHeight="1">
      <x:c r="A372" s="34" t="str">
        <x:v>STU0034</x:v>
      </x:c>
      <x:c r="B372" s="35" t="str">
        <x:v>CSE3CAP - Oral presentation: Project Milestone Presentation</x:v>
      </x:c>
      <x:c r="C372" s="35" t="n">
        <x:v>67</x:v>
      </x:c>
      <x:c r="D372"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372" s="36" t="str">
        <x:v>SILO3: reporting project outcomes to technical and non-technical audiences and reflecting on feedback</x:v>
      </x:c>
      <x:c r="F372" s="35" t="n">
        <x:v>0.1</x:v>
      </x:c>
      <x:c r="G372" s="37" t="n">
        <x:f>C372*F372</x:f>
        <x:v>6.7</x:v>
      </x:c>
    </x:row>
    <x:row r="373" ht="15" hidden="0" customHeight="1">
      <x:c r="A373" s="34" t="str">
        <x:v>STU0034</x:v>
      </x:c>
      <x:c r="B373" s="35" t="str">
        <x:v>CSE3CAP - Oral presentation: Final Project Presentation</x:v>
      </x:c>
      <x:c r="C373" s="35" t="n">
        <x:v>64</x:v>
      </x:c>
      <x:c r="D373"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373" s="36" t="str">
        <x:v>SILO3: reporting project outcomes to technical and non-technical audiences and reflecting on feedback</x:v>
      </x:c>
      <x:c r="F373" s="35" t="n">
        <x:v>0.2</x:v>
      </x:c>
      <x:c r="G373" s="37" t="n">
        <x:f>C373*F373</x:f>
        <x:v>12.8</x:v>
      </x:c>
    </x:row>
    <x:row r="374" ht="15" hidden="0" customHeight="1">
      <x:c r="A374" s="34" t="str">
        <x:v>STU0034</x:v>
      </x:c>
      <x:c r="B374" s="35" t="str">
        <x:v>CSE3CAP - Assignment: Final written Project Report</x:v>
      </x:c>
      <x:c r="C374" s="35" t="n">
        <x:v>67</x:v>
      </x:c>
      <x:c r="D374" s="36" t="str">
        <x:v>This sound result shows a competent and generally reliable grasp of the relevant learning themes, particularly industry standard technical solutions in software or cybersecurity practice and professional system documentation and advanced technical reporting to industry standards. To strengthen the result, the student should provide clearer reasoning, improve technical precision and show more complete testing or reflection.</x:v>
      </x:c>
      <x:c r="E374" s="36" t="str">
        <x:v>SILO2: industry standard technical solutions in software or cybersecurity practice; SILO4: professional system documentation and advanced technical reporting to industry standards</x:v>
      </x:c>
      <x:c r="F374" s="35" t="n">
        <x:v>0.35</x:v>
      </x:c>
      <x:c r="G374" s="37" t="n">
        <x:f>C374*F374</x:f>
        <x:v>23.45</x:v>
      </x:c>
    </x:row>
    <x:row r="375" ht="15" hidden="0" customHeight="1">
      <x:c r="A375" s="34" t="str">
        <x:v>STU0034</x:v>
      </x:c>
      <x:c r="B375" s="35" t="str">
        <x:v>CSE3CAP - Assignment: Sprint Project management reports</x:v>
      </x:c>
      <x:c r="C375" s="35" t="n">
        <x:v>64</x:v>
      </x:c>
      <x:c r="D375"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375" s="36" t="str">
        <x:v>SILO1: advanced project management during substantive development implementation; SILO2: industry standard technical solutions in software or cybersecurity practice</x:v>
      </x:c>
      <x:c r="F375" s="35" t="n">
        <x:v>0.35</x:v>
      </x:c>
      <x:c r="G375" s="37" t="n">
        <x:f>C375*F375</x:f>
        <x:v>22.4</x:v>
      </x:c>
    </x:row>
    <x:row r="376" ht="15" hidden="0" customHeight="1">
      <x:c r="A376" s="34" t="str">
        <x:v>STU0035</x:v>
      </x:c>
      <x:c r="B376" s="35" t="str">
        <x:v>CSE1OOF - Test</x:v>
      </x:c>
      <x:c r="C376" s="35" t="n">
        <x:v>60</x:v>
      </x:c>
      <x:c r="D376"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376" s="36" t="str">
        <x:v>SILO1: analysis/design/implementation compared with object-oriented modelling using objects that combine data structure and behaviour; SILO2: abstract data types and encapsulation to localise and minimise change</x:v>
      </x:c>
      <x:c r="F376" s="35" t="n">
        <x:v>0.15</x:v>
      </x:c>
      <x:c r="G376" s="37" t="n">
        <x:f>C376*F376</x:f>
        <x:v>9</x:v>
      </x:c>
    </x:row>
    <x:row r="377" ht="15" hidden="0" customHeight="1">
      <x:c r="A377" s="34" t="str">
        <x:v>STU0035</x:v>
      </x:c>
      <x:c r="B377" s="35" t="str">
        <x:v>CSE1OOF - Practical demonstration</x:v>
      </x:c>
      <x:c r="C377" s="35" t="n">
        <x:v>56</x:v>
      </x:c>
      <x:c r="D377"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377" s="36" t="str">
        <x:v>SILO2: abstract data types and encapsulation to localise and minimise change; SILO3: code sharing and reuse through object-oriented techniques to reduce development time; SILO4: object-oriented design and implementation of computer programs for real-life problems</x:v>
      </x:c>
      <x:c r="F377" s="35" t="n">
        <x:v>0.2</x:v>
      </x:c>
      <x:c r="G377" s="37" t="n">
        <x:f>C377*F377</x:f>
        <x:v>11.200000000000001</x:v>
      </x:c>
    </x:row>
    <x:row r="378" ht="15" hidden="0" customHeight="1">
      <x:c r="A378" s="34" t="str">
        <x:v>STU0035</x:v>
      </x:c>
      <x:c r="B378" s="35" t="str">
        <x:v>CSE1OOF - Assignment</x:v>
      </x:c>
      <x:c r="C378" s="35" t="n">
        <x:v>59</x:v>
      </x:c>
      <x:c r="D378"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378" s="36" t="str">
        <x:v>SILO2: abstract data types and encapsulation to localise and minimise change; SILO3: code sharing and reuse through object-oriented techniques to reduce development time; SILO4: object-oriented design and implementation of computer programs for real-life problems</x:v>
      </x:c>
      <x:c r="F378" s="35" t="n">
        <x:v>0.25</x:v>
      </x:c>
      <x:c r="G378" s="37" t="n">
        <x:f>C378*F378</x:f>
        <x:v>14.75</x:v>
      </x:c>
    </x:row>
    <x:row r="379" ht="15" hidden="0" customHeight="1">
      <x:c r="A379" s="34" t="str">
        <x:v>STU0035</x:v>
      </x:c>
      <x:c r="B379" s="35" t="str">
        <x:v>CSE1OOF - Central examination</x:v>
      </x:c>
      <x:c r="C379" s="35" t="n">
        <x:v>59</x:v>
      </x:c>
      <x:c r="D379" s="36" t="str">
        <x:v>This developing result meets the core requirements but needs greater consistency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Future work should focus on consolidating the underlying concepts, applying them more consistently and explaining design or implementation decisions with stronger evidence.</x:v>
      </x:c>
      <x:c r="E379"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379" s="35" t="n">
        <x:v>0.4</x:v>
      </x:c>
      <x:c r="G379" s="37" t="n">
        <x:f>C379*F379</x:f>
        <x:v>23.6</x:v>
      </x:c>
    </x:row>
    <x:row r="380" ht="15" hidden="0" customHeight="1">
      <x:c r="A380" s="34" t="str">
        <x:v>STU0035</x:v>
      </x:c>
      <x:c r="B380" s="35" t="str">
        <x:v>CSE2ALG - Test</x:v>
      </x:c>
      <x:c r="C380" s="35" t="n">
        <x:v>59</x:v>
      </x:c>
      <x:c r="D380"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380" s="36" t="str">
        <x:v>SILO1: overall objectives of Algorithms and Data Structures; SILO2: identifying data structures and searching and sorting algorithms in computing contexts; SILO3: implementing data structures and searching and sorting algorithms in Java</x:v>
      </x:c>
      <x:c r="F380" s="35" t="n">
        <x:v>0.2</x:v>
      </x:c>
      <x:c r="G380" s="37" t="n">
        <x:f>C380*F380</x:f>
        <x:v>11.8</x:v>
      </x:c>
    </x:row>
    <x:row r="381" ht="15" hidden="0" customHeight="1">
      <x:c r="A381" s="34" t="str">
        <x:v>STU0035</x:v>
      </x:c>
      <x:c r="B381" s="35" t="str">
        <x:v>CSE2ALG - Assignment</x:v>
      </x:c>
      <x:c r="C381" s="35" t="n">
        <x:v>57</x:v>
      </x:c>
      <x:c r="D381"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381"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381" s="35" t="n">
        <x:v>0.3</x:v>
      </x:c>
      <x:c r="G381" s="37" t="n">
        <x:f>C381*F381</x:f>
        <x:v>17.099999999999998</x:v>
      </x:c>
    </x:row>
    <x:row r="382" ht="15" hidden="0" customHeight="1">
      <x:c r="A382" s="34" t="str">
        <x:v>STU0035</x:v>
      </x:c>
      <x:c r="B382" s="35" t="str">
        <x:v>CSE2ALG - Central examination</x:v>
      </x:c>
      <x:c r="C382" s="35" t="n">
        <x:v>56</x:v>
      </x:c>
      <x:c r="D382" s="36" t="str">
        <x:v>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x:v>
      </x:c>
      <x:c r="E382"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382" s="35" t="n">
        <x:v>0.5</x:v>
      </x:c>
      <x:c r="G382" s="37" t="n">
        <x:f>C382*F382</x:f>
        <x:v>28</x:v>
      </x:c>
    </x:row>
    <x:row r="383" ht="15" hidden="0" customHeight="1">
      <x:c r="A383" s="34" t="str">
        <x:v>STU0035</x:v>
      </x:c>
      <x:c r="B383" s="35" t="str">
        <x:v>CSE3CAP - Oral presentation: Project Milestone Presentation</x:v>
      </x:c>
      <x:c r="C383" s="35" t="n">
        <x:v>53</x:v>
      </x:c>
      <x:c r="D383"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383" s="36" t="str">
        <x:v>SILO3: reporting project outcomes to technical and non-technical audiences and reflecting on feedback</x:v>
      </x:c>
      <x:c r="F383" s="35" t="n">
        <x:v>0.1</x:v>
      </x:c>
      <x:c r="G383" s="37" t="n">
        <x:f>C383*F383</x:f>
        <x:v>5.300000000000001</x:v>
      </x:c>
    </x:row>
    <x:row r="384" ht="15" hidden="0" customHeight="1">
      <x:c r="A384" s="34" t="str">
        <x:v>STU0035</x:v>
      </x:c>
      <x:c r="B384" s="35" t="str">
        <x:v>CSE3CAP - Oral presentation: Final Project Presentation</x:v>
      </x:c>
      <x:c r="C384" s="35" t="n">
        <x:v>56</x:v>
      </x:c>
      <x:c r="D384"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384" s="36" t="str">
        <x:v>SILO3: reporting project outcomes to technical and non-technical audiences and reflecting on feedback</x:v>
      </x:c>
      <x:c r="F384" s="35" t="n">
        <x:v>0.2</x:v>
      </x:c>
      <x:c r="G384" s="37" t="n">
        <x:f>C384*F384</x:f>
        <x:v>11.200000000000001</x:v>
      </x:c>
    </x:row>
    <x:row r="385" ht="15" hidden="0" customHeight="1">
      <x:c r="A385" s="34" t="str">
        <x:v>STU0035</x:v>
      </x:c>
      <x:c r="B385" s="35" t="str">
        <x:v>CSE3CAP - Assignment: Final written Project Report</x:v>
      </x:c>
      <x:c r="C385" s="35" t="n">
        <x:v>50</x:v>
      </x:c>
      <x:c r="D385"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385" s="36" t="str">
        <x:v>SILO2: industry standard technical solutions in software or cybersecurity practice; SILO4: professional system documentation and advanced technical reporting to industry standards</x:v>
      </x:c>
      <x:c r="F385" s="35" t="n">
        <x:v>0.35</x:v>
      </x:c>
      <x:c r="G385" s="37" t="n">
        <x:f>C385*F385</x:f>
        <x:v>17.5</x:v>
      </x:c>
    </x:row>
    <x:row r="386" ht="15" hidden="0" customHeight="1">
      <x:c r="A386" s="34" t="str">
        <x:v>STU0035</x:v>
      </x:c>
      <x:c r="B386" s="35" t="str">
        <x:v>CSE3CAP - Assignment: Sprint Project management reports</x:v>
      </x:c>
      <x:c r="C386" s="35" t="n">
        <x:v>51</x:v>
      </x:c>
      <x:c r="D386"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386" s="36" t="str">
        <x:v>SILO1: advanced project management during substantive development implementation; SILO2: industry standard technical solutions in software or cybersecurity practice</x:v>
      </x:c>
      <x:c r="F386" s="35" t="n">
        <x:v>0.35</x:v>
      </x:c>
      <x:c r="G386" s="37" t="n">
        <x:f>C386*F386</x:f>
        <x:v>17.849999999999998</x:v>
      </x:c>
    </x:row>
    <x:row r="387" ht="15" hidden="0" customHeight="1">
      <x:c r="A387" s="34" t="str">
        <x:v>STU0036</x:v>
      </x:c>
      <x:c r="B387" s="35" t="str">
        <x:v>CSE1OOF - Test</x:v>
      </x:c>
      <x:c r="C387" s="35" t="n">
        <x:v>60</x:v>
      </x:c>
      <x:c r="D387"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387" s="36" t="str">
        <x:v>SILO1: analysis/design/implementation compared with object-oriented modelling using objects that combine data structure and behaviour; SILO2: abstract data types and encapsulation to localise and minimise change</x:v>
      </x:c>
      <x:c r="F387" s="35" t="n">
        <x:v>0.15</x:v>
      </x:c>
      <x:c r="G387" s="37" t="n">
        <x:f>C387*F387</x:f>
        <x:v>9</x:v>
      </x:c>
    </x:row>
    <x:row r="388" ht="15" hidden="0" customHeight="1">
      <x:c r="A388" s="34" t="str">
        <x:v>STU0036</x:v>
      </x:c>
      <x:c r="B388" s="35" t="str">
        <x:v>CSE1OOF - Practical demonstration</x:v>
      </x:c>
      <x:c r="C388" s="35" t="n">
        <x:v>57</x:v>
      </x:c>
      <x:c r="D388"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388" s="36" t="str">
        <x:v>SILO2: abstract data types and encapsulation to localise and minimise change; SILO3: code sharing and reuse through object-oriented techniques to reduce development time; SILO4: object-oriented design and implementation of computer programs for real-life problems</x:v>
      </x:c>
      <x:c r="F388" s="35" t="n">
        <x:v>0.2</x:v>
      </x:c>
      <x:c r="G388" s="37" t="n">
        <x:f>C388*F388</x:f>
        <x:v>11.4</x:v>
      </x:c>
    </x:row>
    <x:row r="389" ht="15" hidden="0" customHeight="1">
      <x:c r="A389" s="34" t="str">
        <x:v>STU0036</x:v>
      </x:c>
      <x:c r="B389" s="35" t="str">
        <x:v>CSE1OOF - Assignment</x:v>
      </x:c>
      <x:c r="C389" s="35" t="n">
        <x:v>58</x:v>
      </x:c>
      <x:c r="D389"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389" s="36" t="str">
        <x:v>SILO2: abstract data types and encapsulation to localise and minimise change; SILO3: code sharing and reuse through object-oriented techniques to reduce development time; SILO4: object-oriented design and implementation of computer programs for real-life problems</x:v>
      </x:c>
      <x:c r="F389" s="35" t="n">
        <x:v>0.25</x:v>
      </x:c>
      <x:c r="G389" s="37" t="n">
        <x:f>C389*F389</x:f>
        <x:v>14.5</x:v>
      </x:c>
    </x:row>
    <x:row r="390" ht="15" hidden="0" customHeight="1">
      <x:c r="A390" s="34" t="str">
        <x:v>STU0036</x:v>
      </x:c>
      <x:c r="B390" s="35" t="str">
        <x:v>CSE1OOF - Central examination</x:v>
      </x:c>
      <x:c r="C390" s="35" t="n">
        <x:v>57</x:v>
      </x:c>
      <x:c r="D390" s="36" t="str">
        <x:v>This developing result meets the core requirements but needs greater consistency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Future work should focus on consolidating the underlying concepts, applying them more consistently and explaining design or implementation decisions with stronger evidence.</x:v>
      </x:c>
      <x:c r="E390"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390" s="35" t="n">
        <x:v>0.4</x:v>
      </x:c>
      <x:c r="G390" s="37" t="n">
        <x:f>C390*F390</x:f>
        <x:v>22.8</x:v>
      </x:c>
    </x:row>
    <x:row r="391" ht="15" hidden="0" customHeight="1">
      <x:c r="A391" s="34" t="str">
        <x:v>STU0036</x:v>
      </x:c>
      <x:c r="B391" s="35" t="str">
        <x:v>CSE2ALG - Test</x:v>
      </x:c>
      <x:c r="C391" s="35" t="n">
        <x:v>65</x:v>
      </x:c>
      <x:c r="D391"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391" s="36" t="str">
        <x:v>SILO1: overall objectives of Algorithms and Data Structures; SILO2: identifying data structures and searching and sorting algorithms in computing contexts; SILO3: implementing data structures and searching and sorting algorithms in Java</x:v>
      </x:c>
      <x:c r="F391" s="35" t="n">
        <x:v>0.2</x:v>
      </x:c>
      <x:c r="G391" s="37" t="n">
        <x:f>C391*F391</x:f>
        <x:v>13</x:v>
      </x:c>
    </x:row>
    <x:row r="392" ht="15" hidden="0" customHeight="1">
      <x:c r="A392" s="34" t="str">
        <x:v>STU0036</x:v>
      </x:c>
      <x:c r="B392" s="35" t="str">
        <x:v>CSE2ALG - Assignment</x:v>
      </x:c>
      <x:c r="C392" s="35" t="n">
        <x:v>61</x:v>
      </x:c>
      <x:c r="D392"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392"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392" s="35" t="n">
        <x:v>0.3</x:v>
      </x:c>
      <x:c r="G392" s="37" t="n">
        <x:f>C392*F392</x:f>
        <x:v>18.3</x:v>
      </x:c>
    </x:row>
    <x:row r="393" ht="15" hidden="0" customHeight="1">
      <x:c r="A393" s="34" t="str">
        <x:v>STU0036</x:v>
      </x:c>
      <x:c r="B393" s="35" t="str">
        <x:v>CSE2ALG - Central examination</x:v>
      </x:c>
      <x:c r="C393" s="35" t="n">
        <x:v>66</x:v>
      </x:c>
      <x:c r="D393"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393"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393" s="35" t="n">
        <x:v>0.5</x:v>
      </x:c>
      <x:c r="G393" s="37" t="n">
        <x:f>C393*F393</x:f>
        <x:v>33</x:v>
      </x:c>
    </x:row>
    <x:row r="394" ht="15" hidden="0" customHeight="1">
      <x:c r="A394" s="34" t="str">
        <x:v>STU0036</x:v>
      </x:c>
      <x:c r="B394" s="35" t="str">
        <x:v>CSE3CAP - Oral presentation: Project Milestone Presentation</x:v>
      </x:c>
      <x:c r="C394" s="35" t="n">
        <x:v>63</x:v>
      </x:c>
      <x:c r="D394"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394" s="36" t="str">
        <x:v>SILO3: reporting project outcomes to technical and non-technical audiences and reflecting on feedback</x:v>
      </x:c>
      <x:c r="F394" s="35" t="n">
        <x:v>0.1</x:v>
      </x:c>
      <x:c r="G394" s="37" t="n">
        <x:f>C394*F394</x:f>
        <x:v>6.300000000000001</x:v>
      </x:c>
    </x:row>
    <x:row r="395" ht="15" hidden="0" customHeight="1">
      <x:c r="A395" s="34" t="str">
        <x:v>STU0036</x:v>
      </x:c>
      <x:c r="B395" s="35" t="str">
        <x:v>CSE3CAP - Oral presentation: Final Project Presentation</x:v>
      </x:c>
      <x:c r="C395" s="35" t="n">
        <x:v>60</x:v>
      </x:c>
      <x:c r="D395"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395" s="36" t="str">
        <x:v>SILO3: reporting project outcomes to technical and non-technical audiences and reflecting on feedback</x:v>
      </x:c>
      <x:c r="F395" s="35" t="n">
        <x:v>0.2</x:v>
      </x:c>
      <x:c r="G395" s="37" t="n">
        <x:f>C395*F395</x:f>
        <x:v>12</x:v>
      </x:c>
    </x:row>
    <x:row r="396" ht="15" hidden="0" customHeight="1">
      <x:c r="A396" s="34" t="str">
        <x:v>STU0036</x:v>
      </x:c>
      <x:c r="B396" s="35" t="str">
        <x:v>CSE3CAP - Assignment: Final written Project Report</x:v>
      </x:c>
      <x:c r="C396" s="35" t="n">
        <x:v>57</x:v>
      </x:c>
      <x:c r="D396"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396" s="36" t="str">
        <x:v>SILO2: industry standard technical solutions in software or cybersecurity practice; SILO4: professional system documentation and advanced technical reporting to industry standards</x:v>
      </x:c>
      <x:c r="F396" s="35" t="n">
        <x:v>0.35</x:v>
      </x:c>
      <x:c r="G396" s="37" t="n">
        <x:f>C396*F396</x:f>
        <x:v>19.95</x:v>
      </x:c>
    </x:row>
    <x:row r="397" ht="15" hidden="0" customHeight="1">
      <x:c r="A397" s="34" t="str">
        <x:v>STU0036</x:v>
      </x:c>
      <x:c r="B397" s="35" t="str">
        <x:v>CSE3CAP - Assignment: Sprint Project management reports</x:v>
      </x:c>
      <x:c r="C397" s="35" t="n">
        <x:v>62</x:v>
      </x:c>
      <x:c r="D397"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397" s="36" t="str">
        <x:v>SILO1: advanced project management during substantive development implementation; SILO2: industry standard technical solutions in software or cybersecurity practice</x:v>
      </x:c>
      <x:c r="F397" s="35" t="n">
        <x:v>0.35</x:v>
      </x:c>
      <x:c r="G397" s="37" t="n">
        <x:f>C397*F397</x:f>
        <x:v>21.7</x:v>
      </x:c>
    </x:row>
    <x:row r="398" ht="15" hidden="0" customHeight="1">
      <x:c r="A398" s="34" t="str">
        <x:v>STU0037</x:v>
      </x:c>
      <x:c r="B398" s="35" t="str">
        <x:v>CSE1OOF - Test</x:v>
      </x:c>
      <x:c r="C398" s="35" t="n">
        <x:v>56</x:v>
      </x:c>
      <x:c r="D398"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398" s="36" t="str">
        <x:v>SILO1: analysis/design/implementation compared with object-oriented modelling using objects that combine data structure and behaviour; SILO2: abstract data types and encapsulation to localise and minimise change</x:v>
      </x:c>
      <x:c r="F398" s="35" t="n">
        <x:v>0.15</x:v>
      </x:c>
      <x:c r="G398" s="37" t="n">
        <x:f>C398*F398</x:f>
        <x:v>8.4</x:v>
      </x:c>
    </x:row>
    <x:row r="399" ht="15" hidden="0" customHeight="1">
      <x:c r="A399" s="34" t="str">
        <x:v>STU0037</x:v>
      </x:c>
      <x:c r="B399" s="35" t="str">
        <x:v>CSE1OOF - Practical demonstration</x:v>
      </x:c>
      <x:c r="C399" s="35" t="n">
        <x:v>51</x:v>
      </x:c>
      <x:c r="D399"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399" s="36" t="str">
        <x:v>SILO2: abstract data types and encapsulation to localise and minimise change; SILO3: code sharing and reuse through object-oriented techniques to reduce development time; SILO4: object-oriented design and implementation of computer programs for real-life problems</x:v>
      </x:c>
      <x:c r="F399" s="35" t="n">
        <x:v>0.2</x:v>
      </x:c>
      <x:c r="G399" s="37" t="n">
        <x:f>C399*F399</x:f>
        <x:v>10.200000000000001</x:v>
      </x:c>
    </x:row>
    <x:row r="400" ht="15" hidden="0" customHeight="1">
      <x:c r="A400" s="34" t="str">
        <x:v>STU0037</x:v>
      </x:c>
      <x:c r="B400" s="35" t="str">
        <x:v>CSE1OOF - Assignment</x:v>
      </x:c>
      <x:c r="C400" s="35" t="n">
        <x:v>55</x:v>
      </x:c>
      <x:c r="D400"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400" s="36" t="str">
        <x:v>SILO2: abstract data types and encapsulation to localise and minimise change; SILO3: code sharing and reuse through object-oriented techniques to reduce development time; SILO4: object-oriented design and implementation of computer programs for real-life problems</x:v>
      </x:c>
      <x:c r="F400" s="35" t="n">
        <x:v>0.25</x:v>
      </x:c>
      <x:c r="G400" s="37" t="n">
        <x:f>C400*F400</x:f>
        <x:v>13.75</x:v>
      </x:c>
    </x:row>
    <x:row r="401" ht="15" hidden="0" customHeight="1">
      <x:c r="A401" s="34" t="str">
        <x:v>STU0037</x:v>
      </x:c>
      <x:c r="B401" s="35" t="str">
        <x:v>CSE1OOF - Central examination</x:v>
      </x:c>
      <x:c r="C401" s="35" t="n">
        <x:v>55</x:v>
      </x:c>
      <x:c r="D401" s="36" t="str">
        <x:v>This developing result meets the core requirements but needs greater consistency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Future work should focus on consolidating the underlying concepts, applying them more consistently and explaining design or implementation decisions with stronger evidence.</x:v>
      </x:c>
      <x:c r="E401"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401" s="35" t="n">
        <x:v>0.4</x:v>
      </x:c>
      <x:c r="G401" s="37" t="n">
        <x:f>C401*F401</x:f>
        <x:v>22</x:v>
      </x:c>
    </x:row>
    <x:row r="402" ht="15" hidden="0" customHeight="1">
      <x:c r="A402" s="34" t="str">
        <x:v>STU0037</x:v>
      </x:c>
      <x:c r="B402" s="35" t="str">
        <x:v>CSE2ALG - Test</x:v>
      </x:c>
      <x:c r="C402" s="35" t="n">
        <x:v>55</x:v>
      </x:c>
      <x:c r="D402"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402" s="36" t="str">
        <x:v>SILO1: overall objectives of Algorithms and Data Structures; SILO2: identifying data structures and searching and sorting algorithms in computing contexts; SILO3: implementing data structures and searching and sorting algorithms in Java</x:v>
      </x:c>
      <x:c r="F402" s="35" t="n">
        <x:v>0.2</x:v>
      </x:c>
      <x:c r="G402" s="37" t="n">
        <x:f>C402*F402</x:f>
        <x:v>11</x:v>
      </x:c>
    </x:row>
    <x:row r="403" ht="15" hidden="0" customHeight="1">
      <x:c r="A403" s="34" t="str">
        <x:v>STU0037</x:v>
      </x:c>
      <x:c r="B403" s="35" t="str">
        <x:v>CSE2ALG - Assignment</x:v>
      </x:c>
      <x:c r="C403" s="35" t="n">
        <x:v>53</x:v>
      </x:c>
      <x:c r="D403"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403"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403" s="35" t="n">
        <x:v>0.3</x:v>
      </x:c>
      <x:c r="G403" s="37" t="n">
        <x:f>C403*F403</x:f>
        <x:v>15.899999999999999</x:v>
      </x:c>
    </x:row>
    <x:row r="404" ht="15" hidden="0" customHeight="1">
      <x:c r="A404" s="34" t="str">
        <x:v>STU0037</x:v>
      </x:c>
      <x:c r="B404" s="35" t="str">
        <x:v>CSE2ALG - Central examination</x:v>
      </x:c>
      <x:c r="C404" s="35" t="n">
        <x:v>49</x:v>
      </x:c>
      <x:c r="D404" s="36" t="str">
        <x:v>This limited result shows gaps that require targeted revision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The student should revisit the core concepts, seek feedback early and practise applying the techniques in smaller, well-tested examples before attempting the full assessment task.</x:v>
      </x:c>
      <x:c r="E404"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404" s="35" t="n">
        <x:v>0.5</x:v>
      </x:c>
      <x:c r="G404" s="37" t="n">
        <x:f>C404*F404</x:f>
        <x:v>24.5</x:v>
      </x:c>
    </x:row>
    <x:row r="405" ht="15" hidden="0" customHeight="1">
      <x:c r="A405" s="34" t="str">
        <x:v>STU0037</x:v>
      </x:c>
      <x:c r="B405" s="35" t="str">
        <x:v>CSE3CAP - Oral presentation: Project Milestone Presentation</x:v>
      </x:c>
      <x:c r="C405" s="35" t="n">
        <x:v>53</x:v>
      </x:c>
      <x:c r="D405"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405" s="36" t="str">
        <x:v>SILO3: reporting project outcomes to technical and non-technical audiences and reflecting on feedback</x:v>
      </x:c>
      <x:c r="F405" s="35" t="n">
        <x:v>0.1</x:v>
      </x:c>
      <x:c r="G405" s="37" t="n">
        <x:f>C405*F405</x:f>
        <x:v>5.300000000000001</x:v>
      </x:c>
    </x:row>
    <x:row r="406" ht="15" hidden="0" customHeight="1">
      <x:c r="A406" s="34" t="str">
        <x:v>STU0037</x:v>
      </x:c>
      <x:c r="B406" s="35" t="str">
        <x:v>CSE3CAP - Oral presentation: Final Project Presentation</x:v>
      </x:c>
      <x:c r="C406" s="35" t="n">
        <x:v>52</x:v>
      </x:c>
      <x:c r="D406"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406" s="36" t="str">
        <x:v>SILO3: reporting project outcomes to technical and non-technical audiences and reflecting on feedback</x:v>
      </x:c>
      <x:c r="F406" s="35" t="n">
        <x:v>0.2</x:v>
      </x:c>
      <x:c r="G406" s="37" t="n">
        <x:f>C406*F406</x:f>
        <x:v>10.4</x:v>
      </x:c>
    </x:row>
    <x:row r="407" ht="15" hidden="0" customHeight="1">
      <x:c r="A407" s="34" t="str">
        <x:v>STU0037</x:v>
      </x:c>
      <x:c r="B407" s="35" t="str">
        <x:v>CSE3CAP - Assignment: Final written Project Report</x:v>
      </x:c>
      <x:c r="C407" s="35" t="n">
        <x:v>50</x:v>
      </x:c>
      <x:c r="D407"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407" s="36" t="str">
        <x:v>SILO2: industry standard technical solutions in software or cybersecurity practice; SILO4: professional system documentation and advanced technical reporting to industry standards</x:v>
      </x:c>
      <x:c r="F407" s="35" t="n">
        <x:v>0.35</x:v>
      </x:c>
      <x:c r="G407" s="37" t="n">
        <x:f>C407*F407</x:f>
        <x:v>17.5</x:v>
      </x:c>
    </x:row>
    <x:row r="408" ht="15" hidden="0" customHeight="1">
      <x:c r="A408" s="34" t="str">
        <x:v>STU0037</x:v>
      </x:c>
      <x:c r="B408" s="35" t="str">
        <x:v>CSE3CAP - Assignment: Sprint Project management reports</x:v>
      </x:c>
      <x:c r="C408" s="35" t="n">
        <x:v>50</x:v>
      </x:c>
      <x:c r="D408"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408" s="36" t="str">
        <x:v>SILO1: advanced project management during substantive development implementation; SILO2: industry standard technical solutions in software or cybersecurity practice</x:v>
      </x:c>
      <x:c r="F408" s="35" t="n">
        <x:v>0.35</x:v>
      </x:c>
      <x:c r="G408" s="37" t="n">
        <x:f>C408*F408</x:f>
        <x:v>17.5</x:v>
      </x:c>
    </x:row>
    <x:row r="409" ht="15" hidden="0" customHeight="1">
      <x:c r="A409" s="34" t="str">
        <x:v>STU0038</x:v>
      </x:c>
      <x:c r="B409" s="35" t="str">
        <x:v>CSE1OOF - Test</x:v>
      </x:c>
      <x:c r="C409" s="35" t="n">
        <x:v>63</x:v>
      </x:c>
      <x:c r="D409"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409" s="36" t="str">
        <x:v>SILO1: analysis/design/implementation compared with object-oriented modelling using objects that combine data structure and behaviour; SILO2: abstract data types and encapsulation to localise and minimise change</x:v>
      </x:c>
      <x:c r="F409" s="35" t="n">
        <x:v>0.15</x:v>
      </x:c>
      <x:c r="G409" s="37" t="n">
        <x:f>C409*F409</x:f>
        <x:v>9.45</x:v>
      </x:c>
    </x:row>
    <x:row r="410" ht="15" hidden="0" customHeight="1">
      <x:c r="A410" s="34" t="str">
        <x:v>STU0038</x:v>
      </x:c>
      <x:c r="B410" s="35" t="str">
        <x:v>CSE1OOF - Practical demonstration</x:v>
      </x:c>
      <x:c r="C410" s="35" t="n">
        <x:v>59</x:v>
      </x:c>
      <x:c r="D410"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410" s="36" t="str">
        <x:v>SILO2: abstract data types and encapsulation to localise and minimise change; SILO3: code sharing and reuse through object-oriented techniques to reduce development time; SILO4: object-oriented design and implementation of computer programs for real-life problems</x:v>
      </x:c>
      <x:c r="F410" s="35" t="n">
        <x:v>0.2</x:v>
      </x:c>
      <x:c r="G410" s="37" t="n">
        <x:f>C410*F410</x:f>
        <x:v>11.8</x:v>
      </x:c>
    </x:row>
    <x:row r="411" ht="15" hidden="0" customHeight="1">
      <x:c r="A411" s="34" t="str">
        <x:v>STU0038</x:v>
      </x:c>
      <x:c r="B411" s="35" t="str">
        <x:v>CSE1OOF - Assignment</x:v>
      </x:c>
      <x:c r="C411" s="35" t="n">
        <x:v>62</x:v>
      </x:c>
      <x:c r="D411"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411" s="36" t="str">
        <x:v>SILO2: abstract data types and encapsulation to localise and minimise change; SILO3: code sharing and reuse through object-oriented techniques to reduce development time; SILO4: object-oriented design and implementation of computer programs for real-life problems</x:v>
      </x:c>
      <x:c r="F411" s="35" t="n">
        <x:v>0.25</x:v>
      </x:c>
      <x:c r="G411" s="37" t="n">
        <x:f>C411*F411</x:f>
        <x:v>15.5</x:v>
      </x:c>
    </x:row>
    <x:row r="412" ht="15" hidden="0" customHeight="1">
      <x:c r="A412" s="34" t="str">
        <x:v>STU0038</x:v>
      </x:c>
      <x:c r="B412" s="35" t="str">
        <x:v>CSE1OOF - Central examination</x:v>
      </x:c>
      <x:c r="C412" s="35" t="n">
        <x:v>64</x:v>
      </x:c>
      <x:c r="D412" s="36" t="str">
        <x:v>This developing result meets the core requirements but needs greater consistency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Future work should focus on consolidating the underlying concepts, applying them more consistently and explaining design or implementation decisions with stronger evidence.</x:v>
      </x:c>
      <x:c r="E412"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412" s="35" t="n">
        <x:v>0.4</x:v>
      </x:c>
      <x:c r="G412" s="37" t="n">
        <x:f>C412*F412</x:f>
        <x:v>25.6</x:v>
      </x:c>
    </x:row>
    <x:row r="413" ht="15" hidden="0" customHeight="1">
      <x:c r="A413" s="34" t="str">
        <x:v>STU0038</x:v>
      </x:c>
      <x:c r="B413" s="35" t="str">
        <x:v>CSE2ALG - Test</x:v>
      </x:c>
      <x:c r="C413" s="35" t="n">
        <x:v>61</x:v>
      </x:c>
      <x:c r="D413"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413" s="36" t="str">
        <x:v>SILO1: overall objectives of Algorithms and Data Structures; SILO2: identifying data structures and searching and sorting algorithms in computing contexts; SILO3: implementing data structures and searching and sorting algorithms in Java</x:v>
      </x:c>
      <x:c r="F413" s="35" t="n">
        <x:v>0.2</x:v>
      </x:c>
      <x:c r="G413" s="37" t="n">
        <x:f>C413*F413</x:f>
        <x:v>12.200000000000001</x:v>
      </x:c>
    </x:row>
    <x:row r="414" ht="15" hidden="0" customHeight="1">
      <x:c r="A414" s="34" t="str">
        <x:v>STU0038</x:v>
      </x:c>
      <x:c r="B414" s="35" t="str">
        <x:v>CSE2ALG - Assignment</x:v>
      </x:c>
      <x:c r="C414" s="35" t="n">
        <x:v>61</x:v>
      </x:c>
      <x:c r="D414"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414"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414" s="35" t="n">
        <x:v>0.3</x:v>
      </x:c>
      <x:c r="G414" s="37" t="n">
        <x:f>C414*F414</x:f>
        <x:v>18.3</x:v>
      </x:c>
    </x:row>
    <x:row r="415" ht="15" hidden="0" customHeight="1">
      <x:c r="A415" s="34" t="str">
        <x:v>STU0038</x:v>
      </x:c>
      <x:c r="B415" s="35" t="str">
        <x:v>CSE2ALG - Central examination</x:v>
      </x:c>
      <x:c r="C415" s="35" t="n">
        <x:v>65</x:v>
      </x:c>
      <x:c r="D415"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415"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415" s="35" t="n">
        <x:v>0.5</x:v>
      </x:c>
      <x:c r="G415" s="37" t="n">
        <x:f>C415*F415</x:f>
        <x:v>32.5</x:v>
      </x:c>
    </x:row>
    <x:row r="416" ht="15" hidden="0" customHeight="1">
      <x:c r="A416" s="34" t="str">
        <x:v>STU0038</x:v>
      </x:c>
      <x:c r="B416" s="35" t="str">
        <x:v>CSE3CAP - Oral presentation: Project Milestone Presentation</x:v>
      </x:c>
      <x:c r="C416" s="35" t="n">
        <x:v>56</x:v>
      </x:c>
      <x:c r="D416"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416" s="36" t="str">
        <x:v>SILO3: reporting project outcomes to technical and non-technical audiences and reflecting on feedback</x:v>
      </x:c>
      <x:c r="F416" s="35" t="n">
        <x:v>0.1</x:v>
      </x:c>
      <x:c r="G416" s="37" t="n">
        <x:f>C416*F416</x:f>
        <x:v>5.6000000000000005</x:v>
      </x:c>
    </x:row>
    <x:row r="417" ht="15" hidden="0" customHeight="1">
      <x:c r="A417" s="34" t="str">
        <x:v>STU0038</x:v>
      </x:c>
      <x:c r="B417" s="35" t="str">
        <x:v>CSE3CAP - Oral presentation: Final Project Presentation</x:v>
      </x:c>
      <x:c r="C417" s="35" t="n">
        <x:v>56</x:v>
      </x:c>
      <x:c r="D417"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417" s="36" t="str">
        <x:v>SILO3: reporting project outcomes to technical and non-technical audiences and reflecting on feedback</x:v>
      </x:c>
      <x:c r="F417" s="35" t="n">
        <x:v>0.2</x:v>
      </x:c>
      <x:c r="G417" s="37" t="n">
        <x:f>C417*F417</x:f>
        <x:v>11.200000000000001</x:v>
      </x:c>
    </x:row>
    <x:row r="418" ht="15" hidden="0" customHeight="1">
      <x:c r="A418" s="34" t="str">
        <x:v>STU0038</x:v>
      </x:c>
      <x:c r="B418" s="35" t="str">
        <x:v>CSE3CAP - Assignment: Final written Project Report</x:v>
      </x:c>
      <x:c r="C418" s="35" t="n">
        <x:v>59</x:v>
      </x:c>
      <x:c r="D418"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418" s="36" t="str">
        <x:v>SILO2: industry standard technical solutions in software or cybersecurity practice; SILO4: professional system documentation and advanced technical reporting to industry standards</x:v>
      </x:c>
      <x:c r="F418" s="35" t="n">
        <x:v>0.35</x:v>
      </x:c>
      <x:c r="G418" s="37" t="n">
        <x:f>C418*F418</x:f>
        <x:v>20.65</x:v>
      </x:c>
    </x:row>
    <x:row r="419" ht="15" hidden="0" customHeight="1">
      <x:c r="A419" s="34" t="str">
        <x:v>STU0038</x:v>
      </x:c>
      <x:c r="B419" s="35" t="str">
        <x:v>CSE3CAP - Assignment: Sprint Project management reports</x:v>
      </x:c>
      <x:c r="C419" s="35" t="n">
        <x:v>58</x:v>
      </x:c>
      <x:c r="D419"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419" s="36" t="str">
        <x:v>SILO1: advanced project management during substantive development implementation; SILO2: industry standard technical solutions in software or cybersecurity practice</x:v>
      </x:c>
      <x:c r="F419" s="35" t="n">
        <x:v>0.35</x:v>
      </x:c>
      <x:c r="G419" s="37" t="n">
        <x:f>C419*F419</x:f>
        <x:v>20.299999999999997</x:v>
      </x:c>
    </x:row>
    <x:row r="420" ht="15" hidden="0" customHeight="1">
      <x:c r="A420" s="34" t="str">
        <x:v>STU0039</x:v>
      </x:c>
      <x:c r="B420" s="35" t="str">
        <x:v>CSE1OOF - Test</x:v>
      </x:c>
      <x:c r="C420" s="35" t="n">
        <x:v>61</x:v>
      </x:c>
      <x:c r="D420"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420" s="36" t="str">
        <x:v>SILO1: analysis/design/implementation compared with object-oriented modelling using objects that combine data structure and behaviour; SILO2: abstract data types and encapsulation to localise and minimise change</x:v>
      </x:c>
      <x:c r="F420" s="35" t="n">
        <x:v>0.15</x:v>
      </x:c>
      <x:c r="G420" s="37" t="n">
        <x:f>C420*F420</x:f>
        <x:v>9.15</x:v>
      </x:c>
    </x:row>
    <x:row r="421" ht="15" hidden="0" customHeight="1">
      <x:c r="A421" s="34" t="str">
        <x:v>STU0039</x:v>
      </x:c>
      <x:c r="B421" s="35" t="str">
        <x:v>CSE1OOF - Practical demonstration</x:v>
      </x:c>
      <x:c r="C421" s="35" t="n">
        <x:v>59</x:v>
      </x:c>
      <x:c r="D421"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421" s="36" t="str">
        <x:v>SILO2: abstract data types and encapsulation to localise and minimise change; SILO3: code sharing and reuse through object-oriented techniques to reduce development time; SILO4: object-oriented design and implementation of computer programs for real-life problems</x:v>
      </x:c>
      <x:c r="F421" s="35" t="n">
        <x:v>0.2</x:v>
      </x:c>
      <x:c r="G421" s="37" t="n">
        <x:f>C421*F421</x:f>
        <x:v>11.8</x:v>
      </x:c>
    </x:row>
    <x:row r="422" ht="15" hidden="0" customHeight="1">
      <x:c r="A422" s="34" t="str">
        <x:v>STU0039</x:v>
      </x:c>
      <x:c r="B422" s="35" t="str">
        <x:v>CSE1OOF - Assignment</x:v>
      </x:c>
      <x:c r="C422" s="35" t="n">
        <x:v>61</x:v>
      </x:c>
      <x:c r="D422"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422" s="36" t="str">
        <x:v>SILO2: abstract data types and encapsulation to localise and minimise change; SILO3: code sharing and reuse through object-oriented techniques to reduce development time; SILO4: object-oriented design and implementation of computer programs for real-life problems</x:v>
      </x:c>
      <x:c r="F422" s="35" t="n">
        <x:v>0.25</x:v>
      </x:c>
      <x:c r="G422" s="37" t="n">
        <x:f>C422*F422</x:f>
        <x:v>15.25</x:v>
      </x:c>
    </x:row>
    <x:row r="423" ht="15" hidden="0" customHeight="1">
      <x:c r="A423" s="34" t="str">
        <x:v>STU0039</x:v>
      </x:c>
      <x:c r="B423" s="35" t="str">
        <x:v>CSE1OOF - Central examination</x:v>
      </x:c>
      <x:c r="C423" s="35" t="n">
        <x:v>62</x:v>
      </x:c>
      <x:c r="D423" s="36" t="str">
        <x:v>This developing result meets the core requirements but needs greater consistency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Future work should focus on consolidating the underlying concepts, applying them more consistently and explaining design or implementation decisions with stronger evidence.</x:v>
      </x:c>
      <x:c r="E423"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423" s="35" t="n">
        <x:v>0.4</x:v>
      </x:c>
      <x:c r="G423" s="37" t="n">
        <x:f>C423*F423</x:f>
        <x:v>24.8</x:v>
      </x:c>
    </x:row>
    <x:row r="424" ht="15" hidden="0" customHeight="1">
      <x:c r="A424" s="34" t="str">
        <x:v>STU0039</x:v>
      </x:c>
      <x:c r="B424" s="35" t="str">
        <x:v>CSE2ALG - Test</x:v>
      </x:c>
      <x:c r="C424" s="35" t="n">
        <x:v>57</x:v>
      </x:c>
      <x:c r="D424"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424" s="36" t="str">
        <x:v>SILO1: overall objectives of Algorithms and Data Structures; SILO2: identifying data structures and searching and sorting algorithms in computing contexts; SILO3: implementing data structures and searching and sorting algorithms in Java</x:v>
      </x:c>
      <x:c r="F424" s="35" t="n">
        <x:v>0.2</x:v>
      </x:c>
      <x:c r="G424" s="37" t="n">
        <x:f>C424*F424</x:f>
        <x:v>11.4</x:v>
      </x:c>
    </x:row>
    <x:row r="425" ht="15" hidden="0" customHeight="1">
      <x:c r="A425" s="34" t="str">
        <x:v>STU0039</x:v>
      </x:c>
      <x:c r="B425" s="35" t="str">
        <x:v>CSE2ALG - Assignment</x:v>
      </x:c>
      <x:c r="C425" s="35" t="n">
        <x:v>57</x:v>
      </x:c>
      <x:c r="D425"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425"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425" s="35" t="n">
        <x:v>0.3</x:v>
      </x:c>
      <x:c r="G425" s="37" t="n">
        <x:f>C425*F425</x:f>
        <x:v>17.099999999999998</x:v>
      </x:c>
    </x:row>
    <x:row r="426" ht="15" hidden="0" customHeight="1">
      <x:c r="A426" s="34" t="str">
        <x:v>STU0039</x:v>
      </x:c>
      <x:c r="B426" s="35" t="str">
        <x:v>CSE2ALG - Central examination</x:v>
      </x:c>
      <x:c r="C426" s="35" t="n">
        <x:v>62</x:v>
      </x:c>
      <x:c r="D426" s="36" t="str">
        <x:v>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x:v>
      </x:c>
      <x:c r="E426"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426" s="35" t="n">
        <x:v>0.5</x:v>
      </x:c>
      <x:c r="G426" s="37" t="n">
        <x:f>C426*F426</x:f>
        <x:v>31</x:v>
      </x:c>
    </x:row>
    <x:row r="427" ht="15" hidden="0" customHeight="1">
      <x:c r="A427" s="34" t="str">
        <x:v>STU0039</x:v>
      </x:c>
      <x:c r="B427" s="35" t="str">
        <x:v>CSE3CAP - Oral presentation: Project Milestone Presentation</x:v>
      </x:c>
      <x:c r="C427" s="35" t="n">
        <x:v>60</x:v>
      </x:c>
      <x:c r="D427"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427" s="36" t="str">
        <x:v>SILO3: reporting project outcomes to technical and non-technical audiences and reflecting on feedback</x:v>
      </x:c>
      <x:c r="F427" s="35" t="n">
        <x:v>0.1</x:v>
      </x:c>
      <x:c r="G427" s="37" t="n">
        <x:f>C427*F427</x:f>
        <x:v>6</x:v>
      </x:c>
    </x:row>
    <x:row r="428" ht="15" hidden="0" customHeight="1">
      <x:c r="A428" s="34" t="str">
        <x:v>STU0039</x:v>
      </x:c>
      <x:c r="B428" s="35" t="str">
        <x:v>CSE3CAP - Oral presentation: Final Project Presentation</x:v>
      </x:c>
      <x:c r="C428" s="35" t="n">
        <x:v>64</x:v>
      </x:c>
      <x:c r="D428"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428" s="36" t="str">
        <x:v>SILO3: reporting project outcomes to technical and non-technical audiences and reflecting on feedback</x:v>
      </x:c>
      <x:c r="F428" s="35" t="n">
        <x:v>0.2</x:v>
      </x:c>
      <x:c r="G428" s="37" t="n">
        <x:f>C428*F428</x:f>
        <x:v>12.8</x:v>
      </x:c>
    </x:row>
    <x:row r="429" ht="15" hidden="0" customHeight="1">
      <x:c r="A429" s="34" t="str">
        <x:v>STU0039</x:v>
      </x:c>
      <x:c r="B429" s="35" t="str">
        <x:v>CSE3CAP - Assignment: Final written Project Report</x:v>
      </x:c>
      <x:c r="C429" s="35" t="n">
        <x:v>60</x:v>
      </x:c>
      <x:c r="D429"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429" s="36" t="str">
        <x:v>SILO2: industry standard technical solutions in software or cybersecurity practice; SILO4: professional system documentation and advanced technical reporting to industry standards</x:v>
      </x:c>
      <x:c r="F429" s="35" t="n">
        <x:v>0.35</x:v>
      </x:c>
      <x:c r="G429" s="37" t="n">
        <x:f>C429*F429</x:f>
        <x:v>21</x:v>
      </x:c>
    </x:row>
    <x:row r="430" ht="15" hidden="0" customHeight="1">
      <x:c r="A430" s="34" t="str">
        <x:v>STU0039</x:v>
      </x:c>
      <x:c r="B430" s="35" t="str">
        <x:v>CSE3CAP - Assignment: Sprint Project management reports</x:v>
      </x:c>
      <x:c r="C430" s="35" t="n">
        <x:v>64</x:v>
      </x:c>
      <x:c r="D430"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430" s="36" t="str">
        <x:v>SILO1: advanced project management during substantive development implementation; SILO2: industry standard technical solutions in software or cybersecurity practice</x:v>
      </x:c>
      <x:c r="F430" s="35" t="n">
        <x:v>0.35</x:v>
      </x:c>
      <x:c r="G430" s="37" t="n">
        <x:f>C430*F430</x:f>
        <x:v>22.4</x:v>
      </x:c>
    </x:row>
    <x:row r="431" ht="15" hidden="0" customHeight="1">
      <x:c r="A431" s="34" t="str">
        <x:v>STU0040</x:v>
      </x:c>
      <x:c r="B431" s="35" t="str">
        <x:v>CSE1OOF - Test</x:v>
      </x:c>
      <x:c r="C431" s="35" t="n">
        <x:v>59</x:v>
      </x:c>
      <x:c r="D431"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431" s="36" t="str">
        <x:v>SILO1: analysis/design/implementation compared with object-oriented modelling using objects that combine data structure and behaviour; SILO2: abstract data types and encapsulation to localise and minimise change</x:v>
      </x:c>
      <x:c r="F431" s="35" t="n">
        <x:v>0.15</x:v>
      </x:c>
      <x:c r="G431" s="37" t="n">
        <x:f>C431*F431</x:f>
        <x:v>8.85</x:v>
      </x:c>
    </x:row>
    <x:row r="432" ht="15" hidden="0" customHeight="1">
      <x:c r="A432" s="34" t="str">
        <x:v>STU0040</x:v>
      </x:c>
      <x:c r="B432" s="35" t="str">
        <x:v>CSE1OOF - Practical demonstration</x:v>
      </x:c>
      <x:c r="C432" s="35" t="n">
        <x:v>65</x:v>
      </x:c>
      <x:c r="D432"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432" s="36" t="str">
        <x:v>SILO2: abstract data types and encapsulation to localise and minimise change; SILO3: code sharing and reuse through object-oriented techniques to reduce development time; SILO4: object-oriented design and implementation of computer programs for real-life problems</x:v>
      </x:c>
      <x:c r="F432" s="35" t="n">
        <x:v>0.2</x:v>
      </x:c>
      <x:c r="G432" s="37" t="n">
        <x:f>C432*F432</x:f>
        <x:v>13</x:v>
      </x:c>
    </x:row>
    <x:row r="433" ht="15" hidden="0" customHeight="1">
      <x:c r="A433" s="34" t="str">
        <x:v>STU0040</x:v>
      </x:c>
      <x:c r="B433" s="35" t="str">
        <x:v>CSE1OOF - Assignment</x:v>
      </x:c>
      <x:c r="C433" s="35" t="n">
        <x:v>64</x:v>
      </x:c>
      <x:c r="D433"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433" s="36" t="str">
        <x:v>SILO2: abstract data types and encapsulation to localise and minimise change; SILO3: code sharing and reuse through object-oriented techniques to reduce development time; SILO4: object-oriented design and implementation of computer programs for real-life problems</x:v>
      </x:c>
      <x:c r="F433" s="35" t="n">
        <x:v>0.25</x:v>
      </x:c>
      <x:c r="G433" s="37" t="n">
        <x:f>C433*F433</x:f>
        <x:v>16</x:v>
      </x:c>
    </x:row>
    <x:row r="434" ht="15" hidden="0" customHeight="1">
      <x:c r="A434" s="34" t="str">
        <x:v>STU0040</x:v>
      </x:c>
      <x:c r="B434" s="35" t="str">
        <x:v>CSE1OOF - Central examination</x:v>
      </x:c>
      <x:c r="C434" s="35" t="n">
        <x:v>60</x:v>
      </x:c>
      <x:c r="D434" s="36" t="str">
        <x:v>This developing result meets the core requirements but needs greater consistency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Future work should focus on consolidating the underlying concepts, applying them more consistently and explaining design or implementation decisions with stronger evidence.</x:v>
      </x:c>
      <x:c r="E434"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434" s="35" t="n">
        <x:v>0.4</x:v>
      </x:c>
      <x:c r="G434" s="37" t="n">
        <x:f>C434*F434</x:f>
        <x:v>24</x:v>
      </x:c>
    </x:row>
    <x:row r="435" ht="15" hidden="0" customHeight="1">
      <x:c r="A435" s="34" t="str">
        <x:v>STU0040</x:v>
      </x:c>
      <x:c r="B435" s="35" t="str">
        <x:v>CSE2ALG - Test</x:v>
      </x:c>
      <x:c r="C435" s="35" t="n">
        <x:v>61</x:v>
      </x:c>
      <x:c r="D435"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435" s="36" t="str">
        <x:v>SILO1: overall objectives of Algorithms and Data Structures; SILO2: identifying data structures and searching and sorting algorithms in computing contexts; SILO3: implementing data structures and searching and sorting algorithms in Java</x:v>
      </x:c>
      <x:c r="F435" s="35" t="n">
        <x:v>0.2</x:v>
      </x:c>
      <x:c r="G435" s="37" t="n">
        <x:f>C435*F435</x:f>
        <x:v>12.200000000000001</x:v>
      </x:c>
    </x:row>
    <x:row r="436" ht="15" hidden="0" customHeight="1">
      <x:c r="A436" s="34" t="str">
        <x:v>STU0040</x:v>
      </x:c>
      <x:c r="B436" s="35" t="str">
        <x:v>CSE2ALG - Assignment</x:v>
      </x:c>
      <x:c r="C436" s="35" t="n">
        <x:v>64</x:v>
      </x:c>
      <x:c r="D436"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436"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436" s="35" t="n">
        <x:v>0.3</x:v>
      </x:c>
      <x:c r="G436" s="37" t="n">
        <x:f>C436*F436</x:f>
        <x:v>19.2</x:v>
      </x:c>
    </x:row>
    <x:row r="437" ht="15" hidden="0" customHeight="1">
      <x:c r="A437" s="34" t="str">
        <x:v>STU0040</x:v>
      </x:c>
      <x:c r="B437" s="35" t="str">
        <x:v>CSE2ALG - Central examination</x:v>
      </x:c>
      <x:c r="C437" s="35" t="n">
        <x:v>63</x:v>
      </x:c>
      <x:c r="D437" s="36" t="str">
        <x:v>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x:v>
      </x:c>
      <x:c r="E437"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437" s="35" t="n">
        <x:v>0.5</x:v>
      </x:c>
      <x:c r="G437" s="37" t="n">
        <x:f>C437*F437</x:f>
        <x:v>31.5</x:v>
      </x:c>
    </x:row>
    <x:row r="438" ht="15" hidden="0" customHeight="1">
      <x:c r="A438" s="34" t="str">
        <x:v>STU0040</x:v>
      </x:c>
      <x:c r="B438" s="35" t="str">
        <x:v>CSE3CAP - Oral presentation: Project Milestone Presentation</x:v>
      </x:c>
      <x:c r="C438" s="35" t="n">
        <x:v>63</x:v>
      </x:c>
      <x:c r="D438"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438" s="36" t="str">
        <x:v>SILO3: reporting project outcomes to technical and non-technical audiences and reflecting on feedback</x:v>
      </x:c>
      <x:c r="F438" s="35" t="n">
        <x:v>0.1</x:v>
      </x:c>
      <x:c r="G438" s="37" t="n">
        <x:f>C438*F438</x:f>
        <x:v>6.300000000000001</x:v>
      </x:c>
    </x:row>
    <x:row r="439" ht="15" hidden="0" customHeight="1">
      <x:c r="A439" s="34" t="str">
        <x:v>STU0040</x:v>
      </x:c>
      <x:c r="B439" s="35" t="str">
        <x:v>CSE3CAP - Oral presentation: Final Project Presentation</x:v>
      </x:c>
      <x:c r="C439" s="35" t="n">
        <x:v>62</x:v>
      </x:c>
      <x:c r="D439"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439" s="36" t="str">
        <x:v>SILO3: reporting project outcomes to technical and non-technical audiences and reflecting on feedback</x:v>
      </x:c>
      <x:c r="F439" s="35" t="n">
        <x:v>0.2</x:v>
      </x:c>
      <x:c r="G439" s="37" t="n">
        <x:f>C439*F439</x:f>
        <x:v>12.4</x:v>
      </x:c>
    </x:row>
    <x:row r="440" ht="15" hidden="0" customHeight="1">
      <x:c r="A440" s="34" t="str">
        <x:v>STU0040</x:v>
      </x:c>
      <x:c r="B440" s="35" t="str">
        <x:v>CSE3CAP - Assignment: Final written Project Report</x:v>
      </x:c>
      <x:c r="C440" s="35" t="n">
        <x:v>61</x:v>
      </x:c>
      <x:c r="D440"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440" s="36" t="str">
        <x:v>SILO2: industry standard technical solutions in software or cybersecurity practice; SILO4: professional system documentation and advanced technical reporting to industry standards</x:v>
      </x:c>
      <x:c r="F440" s="35" t="n">
        <x:v>0.35</x:v>
      </x:c>
      <x:c r="G440" s="37" t="n">
        <x:f>C440*F440</x:f>
        <x:v>21.349999999999998</x:v>
      </x:c>
    </x:row>
    <x:row r="441" ht="15" hidden="0" customHeight="1">
      <x:c r="A441" s="34" t="str">
        <x:v>STU0040</x:v>
      </x:c>
      <x:c r="B441" s="35" t="str">
        <x:v>CSE3CAP - Assignment: Sprint Project management reports</x:v>
      </x:c>
      <x:c r="C441" s="35" t="n">
        <x:v>59</x:v>
      </x:c>
      <x:c r="D441"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441" s="36" t="str">
        <x:v>SILO1: advanced project management during substantive development implementation; SILO2: industry standard technical solutions in software or cybersecurity practice</x:v>
      </x:c>
      <x:c r="F441" s="35" t="n">
        <x:v>0.35</x:v>
      </x:c>
      <x:c r="G441" s="37" t="n">
        <x:f>C441*F441</x:f>
        <x:v>20.65</x:v>
      </x:c>
    </x:row>
    <x:row r="442" ht="15" hidden="0" customHeight="1">
      <x:c r="A442" s="34" t="str">
        <x:v>STU0041</x:v>
      </x:c>
      <x:c r="B442" s="35" t="str">
        <x:v>CSE1OOF - Test</x:v>
      </x:c>
      <x:c r="C442" s="35" t="n">
        <x:v>68</x:v>
      </x:c>
      <x:c r="D442"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442" s="36" t="str">
        <x:v>SILO1: analysis/design/implementation compared with object-oriented modelling using objects that combine data structure and behaviour; SILO2: abstract data types and encapsulation to localise and minimise change</x:v>
      </x:c>
      <x:c r="F442" s="35" t="n">
        <x:v>0.15</x:v>
      </x:c>
      <x:c r="G442" s="37" t="n">
        <x:f>C442*F442</x:f>
        <x:v>10.2</x:v>
      </x:c>
    </x:row>
    <x:row r="443" ht="15" hidden="0" customHeight="1">
      <x:c r="A443" s="34" t="str">
        <x:v>STU0041</x:v>
      </x:c>
      <x:c r="B443" s="35" t="str">
        <x:v>CSE1OOF - Practical demonstration</x:v>
      </x:c>
      <x:c r="C443" s="35" t="n">
        <x:v>67</x:v>
      </x:c>
      <x:c r="D443"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443" s="36" t="str">
        <x:v>SILO2: abstract data types and encapsulation to localise and minimise change; SILO3: code sharing and reuse through object-oriented techniques to reduce development time; SILO4: object-oriented design and implementation of computer programs for real-life problems</x:v>
      </x:c>
      <x:c r="F443" s="35" t="n">
        <x:v>0.2</x:v>
      </x:c>
      <x:c r="G443" s="37" t="n">
        <x:f>C443*F443</x:f>
        <x:v>13.4</x:v>
      </x:c>
    </x:row>
    <x:row r="444" ht="15" hidden="0" customHeight="1">
      <x:c r="A444" s="34" t="str">
        <x:v>STU0041</x:v>
      </x:c>
      <x:c r="B444" s="35" t="str">
        <x:v>CSE1OOF - Assignment</x:v>
      </x:c>
      <x:c r="C444" s="35" t="n">
        <x:v>70</x:v>
      </x:c>
      <x:c r="D444"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444" s="36" t="str">
        <x:v>SILO2: abstract data types and encapsulation to localise and minimise change; SILO3: code sharing and reuse through object-oriented techniques to reduce development time; SILO4: object-oriented design and implementation of computer programs for real-life problems</x:v>
      </x:c>
      <x:c r="F444" s="35" t="n">
        <x:v>0.25</x:v>
      </x:c>
      <x:c r="G444" s="37" t="n">
        <x:f>C444*F444</x:f>
        <x:v>17.5</x:v>
      </x:c>
    </x:row>
    <x:row r="445" ht="15" hidden="0" customHeight="1">
      <x:c r="A445" s="34" t="str">
        <x:v>STU0041</x:v>
      </x:c>
      <x:c r="B445" s="35" t="str">
        <x:v>CSE1OOF - Central examination</x:v>
      </x:c>
      <x:c r="C445" s="35" t="n">
        <x:v>70</x:v>
      </x:c>
      <x:c r="D445"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445"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445" s="35" t="n">
        <x:v>0.4</x:v>
      </x:c>
      <x:c r="G445" s="37" t="n">
        <x:f>C445*F445</x:f>
        <x:v>28</x:v>
      </x:c>
    </x:row>
    <x:row r="446" ht="15" hidden="0" customHeight="1">
      <x:c r="A446" s="34" t="str">
        <x:v>STU0041</x:v>
      </x:c>
      <x:c r="B446" s="35" t="str">
        <x:v>CSE2ALG - Test</x:v>
      </x:c>
      <x:c r="C446" s="35" t="n">
        <x:v>69</x:v>
      </x:c>
      <x:c r="D446"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446" s="36" t="str">
        <x:v>SILO1: overall objectives of Algorithms and Data Structures; SILO2: identifying data structures and searching and sorting algorithms in computing contexts; SILO3: implementing data structures and searching and sorting algorithms in Java</x:v>
      </x:c>
      <x:c r="F446" s="35" t="n">
        <x:v>0.2</x:v>
      </x:c>
      <x:c r="G446" s="37" t="n">
        <x:f>C446*F446</x:f>
        <x:v>13.8</x:v>
      </x:c>
    </x:row>
    <x:row r="447" ht="15" hidden="0" customHeight="1">
      <x:c r="A447" s="34" t="str">
        <x:v>STU0041</x:v>
      </x:c>
      <x:c r="B447" s="35" t="str">
        <x:v>CSE2ALG - Assignment</x:v>
      </x:c>
      <x:c r="C447" s="35" t="n">
        <x:v>67</x:v>
      </x:c>
      <x:c r="D447" s="36" t="str">
        <x:v>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x:v>
      </x:c>
      <x:c r="E447"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447" s="35" t="n">
        <x:v>0.3</x:v>
      </x:c>
      <x:c r="G447" s="37" t="n">
        <x:f>C447*F447</x:f>
        <x:v>20.099999999999998</x:v>
      </x:c>
    </x:row>
    <x:row r="448" ht="15" hidden="0" customHeight="1">
      <x:c r="A448" s="34" t="str">
        <x:v>STU0041</x:v>
      </x:c>
      <x:c r="B448" s="35" t="str">
        <x:v>CSE2ALG - Central examination</x:v>
      </x:c>
      <x:c r="C448" s="35" t="n">
        <x:v>67</x:v>
      </x:c>
      <x:c r="D448"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448"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448" s="35" t="n">
        <x:v>0.5</x:v>
      </x:c>
      <x:c r="G448" s="37" t="n">
        <x:f>C448*F448</x:f>
        <x:v>33.5</x:v>
      </x:c>
    </x:row>
    <x:row r="449" ht="15" hidden="0" customHeight="1">
      <x:c r="A449" s="34" t="str">
        <x:v>STU0041</x:v>
      </x:c>
      <x:c r="B449" s="35" t="str">
        <x:v>CSE3CAP - Oral presentation: Project Milestone Presentation</x:v>
      </x:c>
      <x:c r="C449" s="35" t="n">
        <x:v>72</x:v>
      </x:c>
      <x:c r="D449"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449" s="36" t="str">
        <x:v>SILO3: reporting project outcomes to technical and non-technical audiences and reflecting on feedback</x:v>
      </x:c>
      <x:c r="F449" s="35" t="n">
        <x:v>0.1</x:v>
      </x:c>
      <x:c r="G449" s="37" t="n">
        <x:f>C449*F449</x:f>
        <x:v>7.2</x:v>
      </x:c>
    </x:row>
    <x:row r="450" ht="15" hidden="0" customHeight="1">
      <x:c r="A450" s="34" t="str">
        <x:v>STU0041</x:v>
      </x:c>
      <x:c r="B450" s="35" t="str">
        <x:v>CSE3CAP - Oral presentation: Final Project Presentation</x:v>
      </x:c>
      <x:c r="C450" s="35" t="n">
        <x:v>73</x:v>
      </x:c>
      <x:c r="D450"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450" s="36" t="str">
        <x:v>SILO3: reporting project outcomes to technical and non-technical audiences and reflecting on feedback</x:v>
      </x:c>
      <x:c r="F450" s="35" t="n">
        <x:v>0.2</x:v>
      </x:c>
      <x:c r="G450" s="37" t="n">
        <x:f>C450*F450</x:f>
        <x:v>14.600000000000001</x:v>
      </x:c>
    </x:row>
    <x:row r="451" ht="15" hidden="0" customHeight="1">
      <x:c r="A451" s="34" t="str">
        <x:v>STU0041</x:v>
      </x:c>
      <x:c r="B451" s="35" t="str">
        <x:v>CSE3CAP - Assignment: Final written Project Report</x:v>
      </x:c>
      <x:c r="C451" s="35" t="n">
        <x:v>70</x:v>
      </x:c>
      <x:c r="D451" s="36" t="str">
        <x:v>This sound result shows a competent and generally reliable grasp of the relevant learning themes, particularly industry standard technical solutions in software or cybersecurity practice and professional system documentation and advanced technical reporting to industry standards. To strengthen the result, the student should provide clearer reasoning, improve technical precision and show more complete testing or reflection.</x:v>
      </x:c>
      <x:c r="E451" s="36" t="str">
        <x:v>SILO2: industry standard technical solutions in software or cybersecurity practice; SILO4: professional system documentation and advanced technical reporting to industry standards</x:v>
      </x:c>
      <x:c r="F451" s="35" t="n">
        <x:v>0.35</x:v>
      </x:c>
      <x:c r="G451" s="37" t="n">
        <x:f>C451*F451</x:f>
        <x:v>24.5</x:v>
      </x:c>
    </x:row>
    <x:row r="452" ht="15" hidden="0" customHeight="1">
      <x:c r="A452" s="34" t="str">
        <x:v>STU0041</x:v>
      </x:c>
      <x:c r="B452" s="35" t="str">
        <x:v>CSE3CAP - Assignment: Sprint Project management reports</x:v>
      </x:c>
      <x:c r="C452" s="35" t="n">
        <x:v>70</x:v>
      </x:c>
      <x:c r="D452" s="36" t="str">
        <x:v>This sound result shows a competent and generally reliable grasp of the relevant learning themes, particularly advanced project management during substantive development implementation and industry standard technical solutions in software or cybersecurity practice. To strengthen the result, the student should provide clearer reasoning, improve technical precision and show more complete testing or reflection.</x:v>
      </x:c>
      <x:c r="E452" s="36" t="str">
        <x:v>SILO1: advanced project management during substantive development implementation; SILO2: industry standard technical solutions in software or cybersecurity practice</x:v>
      </x:c>
      <x:c r="F452" s="35" t="n">
        <x:v>0.35</x:v>
      </x:c>
      <x:c r="G452" s="37" t="n">
        <x:f>C452*F452</x:f>
        <x:v>24.5</x:v>
      </x:c>
    </x:row>
    <x:row r="453" ht="15" hidden="0" customHeight="1">
      <x:c r="A453" s="34" t="str">
        <x:v>STU0042</x:v>
      </x:c>
      <x:c r="B453" s="35" t="str">
        <x:v>CSE1OOF - Test</x:v>
      </x:c>
      <x:c r="C453" s="35" t="n">
        <x:v>66</x:v>
      </x:c>
      <x:c r="D453"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453" s="36" t="str">
        <x:v>SILO1: analysis/design/implementation compared with object-oriented modelling using objects that combine data structure and behaviour; SILO2: abstract data types and encapsulation to localise and minimise change</x:v>
      </x:c>
      <x:c r="F453" s="35" t="n">
        <x:v>0.15</x:v>
      </x:c>
      <x:c r="G453" s="37" t="n">
        <x:f>C453*F453</x:f>
        <x:v>9.9</x:v>
      </x:c>
    </x:row>
    <x:row r="454" ht="15" hidden="0" customHeight="1">
      <x:c r="A454" s="34" t="str">
        <x:v>STU0042</x:v>
      </x:c>
      <x:c r="B454" s="35" t="str">
        <x:v>CSE1OOF - Practical demonstration</x:v>
      </x:c>
      <x:c r="C454" s="35" t="n">
        <x:v>68</x:v>
      </x:c>
      <x:c r="D454"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454" s="36" t="str">
        <x:v>SILO2: abstract data types and encapsulation to localise and minimise change; SILO3: code sharing and reuse through object-oriented techniques to reduce development time; SILO4: object-oriented design and implementation of computer programs for real-life problems</x:v>
      </x:c>
      <x:c r="F454" s="35" t="n">
        <x:v>0.2</x:v>
      </x:c>
      <x:c r="G454" s="37" t="n">
        <x:f>C454*F454</x:f>
        <x:v>13.600000000000001</x:v>
      </x:c>
    </x:row>
    <x:row r="455" ht="15" hidden="0" customHeight="1">
      <x:c r="A455" s="34" t="str">
        <x:v>STU0042</x:v>
      </x:c>
      <x:c r="B455" s="35" t="str">
        <x:v>CSE1OOF - Assignment</x:v>
      </x:c>
      <x:c r="C455" s="35" t="n">
        <x:v>68</x:v>
      </x:c>
      <x:c r="D455"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455" s="36" t="str">
        <x:v>SILO2: abstract data types and encapsulation to localise and minimise change; SILO3: code sharing and reuse through object-oriented techniques to reduce development time; SILO4: object-oriented design and implementation of computer programs for real-life problems</x:v>
      </x:c>
      <x:c r="F455" s="35" t="n">
        <x:v>0.25</x:v>
      </x:c>
      <x:c r="G455" s="37" t="n">
        <x:f>C455*F455</x:f>
        <x:v>17</x:v>
      </x:c>
    </x:row>
    <x:row r="456" ht="15" hidden="0" customHeight="1">
      <x:c r="A456" s="34" t="str">
        <x:v>STU0042</x:v>
      </x:c>
      <x:c r="B456" s="35" t="str">
        <x:v>CSE1OOF - Central examination</x:v>
      </x:c>
      <x:c r="C456" s="35" t="n">
        <x:v>68</x:v>
      </x:c>
      <x:c r="D456"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456"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456" s="35" t="n">
        <x:v>0.4</x:v>
      </x:c>
      <x:c r="G456" s="37" t="n">
        <x:f>C456*F456</x:f>
        <x:v>27.200000000000003</x:v>
      </x:c>
    </x:row>
    <x:row r="457" ht="15" hidden="0" customHeight="1">
      <x:c r="A457" s="34" t="str">
        <x:v>STU0042</x:v>
      </x:c>
      <x:c r="B457" s="35" t="str">
        <x:v>CSE2ALG - Test</x:v>
      </x:c>
      <x:c r="C457" s="35" t="n">
        <x:v>69</x:v>
      </x:c>
      <x:c r="D457"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457" s="36" t="str">
        <x:v>SILO1: overall objectives of Algorithms and Data Structures; SILO2: identifying data structures and searching and sorting algorithms in computing contexts; SILO3: implementing data structures and searching and sorting algorithms in Java</x:v>
      </x:c>
      <x:c r="F457" s="35" t="n">
        <x:v>0.2</x:v>
      </x:c>
      <x:c r="G457" s="37" t="n">
        <x:f>C457*F457</x:f>
        <x:v>13.8</x:v>
      </x:c>
    </x:row>
    <x:row r="458" ht="15" hidden="0" customHeight="1">
      <x:c r="A458" s="34" t="str">
        <x:v>STU0042</x:v>
      </x:c>
      <x:c r="B458" s="35" t="str">
        <x:v>CSE2ALG - Assignment</x:v>
      </x:c>
      <x:c r="C458" s="35" t="n">
        <x:v>67</x:v>
      </x:c>
      <x:c r="D458" s="36" t="str">
        <x:v>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x:v>
      </x:c>
      <x:c r="E458"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458" s="35" t="n">
        <x:v>0.3</x:v>
      </x:c>
      <x:c r="G458" s="37" t="n">
        <x:f>C458*F458</x:f>
        <x:v>20.099999999999998</x:v>
      </x:c>
    </x:row>
    <x:row r="459" ht="15" hidden="0" customHeight="1">
      <x:c r="A459" s="34" t="str">
        <x:v>STU0042</x:v>
      </x:c>
      <x:c r="B459" s="35" t="str">
        <x:v>CSE2ALG - Central examination</x:v>
      </x:c>
      <x:c r="C459" s="35" t="n">
        <x:v>67</x:v>
      </x:c>
      <x:c r="D459"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459"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459" s="35" t="n">
        <x:v>0.5</x:v>
      </x:c>
      <x:c r="G459" s="37" t="n">
        <x:f>C459*F459</x:f>
        <x:v>33.5</x:v>
      </x:c>
    </x:row>
    <x:row r="460" ht="15" hidden="0" customHeight="1">
      <x:c r="A460" s="34" t="str">
        <x:v>STU0042</x:v>
      </x:c>
      <x:c r="B460" s="35" t="str">
        <x:v>CSE3CAP - Oral presentation: Project Milestone Presentation</x:v>
      </x:c>
      <x:c r="C460" s="35" t="n">
        <x:v>72</x:v>
      </x:c>
      <x:c r="D460"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460" s="36" t="str">
        <x:v>SILO3: reporting project outcomes to technical and non-technical audiences and reflecting on feedback</x:v>
      </x:c>
      <x:c r="F460" s="35" t="n">
        <x:v>0.1</x:v>
      </x:c>
      <x:c r="G460" s="37" t="n">
        <x:f>C460*F460</x:f>
        <x:v>7.2</x:v>
      </x:c>
    </x:row>
    <x:row r="461" ht="15" hidden="0" customHeight="1">
      <x:c r="A461" s="34" t="str">
        <x:v>STU0042</x:v>
      </x:c>
      <x:c r="B461" s="35" t="str">
        <x:v>CSE3CAP - Oral presentation: Final Project Presentation</x:v>
      </x:c>
      <x:c r="C461" s="35" t="n">
        <x:v>70</x:v>
      </x:c>
      <x:c r="D461"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461" s="36" t="str">
        <x:v>SILO3: reporting project outcomes to technical and non-technical audiences and reflecting on feedback</x:v>
      </x:c>
      <x:c r="F461" s="35" t="n">
        <x:v>0.2</x:v>
      </x:c>
      <x:c r="G461" s="37" t="n">
        <x:f>C461*F461</x:f>
        <x:v>14</x:v>
      </x:c>
    </x:row>
    <x:row r="462" ht="15" hidden="0" customHeight="1">
      <x:c r="A462" s="34" t="str">
        <x:v>STU0042</x:v>
      </x:c>
      <x:c r="B462" s="35" t="str">
        <x:v>CSE3CAP - Assignment: Final written Project Report</x:v>
      </x:c>
      <x:c r="C462" s="35" t="n">
        <x:v>73</x:v>
      </x:c>
      <x:c r="D462" s="36" t="str">
        <x:v>This sound result shows a competent and generally reliable grasp of the relevant learning themes, particularly industry standard technical solutions in software or cybersecurity practice and professional system documentation and advanced technical reporting to industry standards. To strengthen the result, the student should provide clearer reasoning, improve technical precision and show more complete testing or reflection.</x:v>
      </x:c>
      <x:c r="E462" s="36" t="str">
        <x:v>SILO2: industry standard technical solutions in software or cybersecurity practice; SILO4: professional system documentation and advanced technical reporting to industry standards</x:v>
      </x:c>
      <x:c r="F462" s="35" t="n">
        <x:v>0.35</x:v>
      </x:c>
      <x:c r="G462" s="37" t="n">
        <x:f>C462*F462</x:f>
        <x:v>25.549999999999997</x:v>
      </x:c>
    </x:row>
    <x:row r="463" ht="15" hidden="0" customHeight="1">
      <x:c r="A463" s="34" t="str">
        <x:v>STU0042</x:v>
      </x:c>
      <x:c r="B463" s="35" t="str">
        <x:v>CSE3CAP - Assignment: Sprint Project management reports</x:v>
      </x:c>
      <x:c r="C463" s="35" t="n">
        <x:v>71</x:v>
      </x:c>
      <x:c r="D463" s="36" t="str">
        <x:v>This sound result shows a competent and generally reliable grasp of the relevant learning themes, particularly advanced project management during substantive development implementation and industry standard technical solutions in software or cybersecurity practice. To strengthen the result, the student should provide clearer reasoning, improve technical precision and show more complete testing or reflection.</x:v>
      </x:c>
      <x:c r="E463" s="36" t="str">
        <x:v>SILO1: advanced project management during substantive development implementation; SILO2: industry standard technical solutions in software or cybersecurity practice</x:v>
      </x:c>
      <x:c r="F463" s="35" t="n">
        <x:v>0.35</x:v>
      </x:c>
      <x:c r="G463" s="37" t="n">
        <x:f>C463*F463</x:f>
        <x:v>24.849999999999998</x:v>
      </x:c>
    </x:row>
    <x:row r="464" ht="15" hidden="0" customHeight="1">
      <x:c r="A464" s="34" t="str">
        <x:v>STU0043</x:v>
      </x:c>
      <x:c r="B464" s="35" t="str">
        <x:v>CSE1OOF - Test</x:v>
      </x:c>
      <x:c r="C464" s="35" t="n">
        <x:v>84</x:v>
      </x:c>
      <x:c r="D464" s="36" t="str">
        <x:v>This strong result shows well-developed understanding of the relevant learning themes, particularly analysis/design/implementation compared with object-oriented modelling using objects that combine data structure and behaviour and abstract data types and encapsulation to localise and minimise change. Further improvement would come from deeper justification, more consistent evaluation evidence and tighter links between decisions and implementation details.</x:v>
      </x:c>
      <x:c r="E464" s="36" t="str">
        <x:v>SILO1: analysis/design/implementation compared with object-oriented modelling using objects that combine data structure and behaviour; SILO2: abstract data types and encapsulation to localise and minimise change</x:v>
      </x:c>
      <x:c r="F464" s="35" t="n">
        <x:v>0.15</x:v>
      </x:c>
      <x:c r="G464" s="37" t="n">
        <x:f>C464*F464</x:f>
        <x:v>12.6</x:v>
      </x:c>
    </x:row>
    <x:row r="465" ht="15" hidden="0" customHeight="1">
      <x:c r="A465" s="34" t="str">
        <x:v>STU0043</x:v>
      </x:c>
      <x:c r="B465" s="35" t="str">
        <x:v>CSE1OOF - Practical demonstration</x:v>
      </x:c>
      <x:c r="C465" s="35" t="n">
        <x:v>88</x:v>
      </x:c>
      <x:c r="D465" s="36" t="str">
        <x:v>This excellent result demonstrates confident and independent command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work is clear, accurate and well justified, with only minor opportunities to further polish explanation or evaluation.</x:v>
      </x:c>
      <x:c r="E465" s="36" t="str">
        <x:v>SILO2: abstract data types and encapsulation to localise and minimise change; SILO3: code sharing and reuse through object-oriented techniques to reduce development time; SILO4: object-oriented design and implementation of computer programs for real-life problems</x:v>
      </x:c>
      <x:c r="F465" s="35" t="n">
        <x:v>0.2</x:v>
      </x:c>
      <x:c r="G465" s="37" t="n">
        <x:f>C465*F465</x:f>
        <x:v>17.6</x:v>
      </x:c>
    </x:row>
    <x:row r="466" ht="15" hidden="0" customHeight="1">
      <x:c r="A466" s="34" t="str">
        <x:v>STU0043</x:v>
      </x:c>
      <x:c r="B466" s="35" t="str">
        <x:v>CSE1OOF - Assignment</x:v>
      </x:c>
      <x:c r="C466" s="35" t="n">
        <x:v>88</x:v>
      </x:c>
      <x:c r="D466" s="36" t="str">
        <x:v>This excellent result demonstrates confident and independent command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work is clear, accurate and well justified, with only minor opportunities to further polish explanation or evaluation.</x:v>
      </x:c>
      <x:c r="E466" s="36" t="str">
        <x:v>SILO2: abstract data types and encapsulation to localise and minimise change; SILO3: code sharing and reuse through object-oriented techniques to reduce development time; SILO4: object-oriented design and implementation of computer programs for real-life problems</x:v>
      </x:c>
      <x:c r="F466" s="35" t="n">
        <x:v>0.25</x:v>
      </x:c>
      <x:c r="G466" s="37" t="n">
        <x:f>C466*F466</x:f>
        <x:v>22</x:v>
      </x:c>
    </x:row>
    <x:row r="467" ht="15" hidden="0" customHeight="1">
      <x:c r="A467" s="34" t="str">
        <x:v>STU0043</x:v>
      </x:c>
      <x:c r="B467" s="35" t="str">
        <x:v>CSE1OOF - Central examination</x:v>
      </x:c>
      <x:c r="C467" s="35" t="n">
        <x:v>87</x:v>
      </x:c>
      <x:c r="D467" s="36" t="str">
        <x:v>This excellent result demonstrates confident and independent command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The work is clear, accurate and well justified, with only minor opportunities to further polish explanation or evaluation.</x:v>
      </x:c>
      <x:c r="E467"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467" s="35" t="n">
        <x:v>0.4</x:v>
      </x:c>
      <x:c r="G467" s="37" t="n">
        <x:f>C467*F467</x:f>
        <x:v>34.800000000000004</x:v>
      </x:c>
    </x:row>
    <x:row r="468" ht="15" hidden="0" customHeight="1">
      <x:c r="A468" s="34" t="str">
        <x:v>STU0043</x:v>
      </x:c>
      <x:c r="B468" s="35" t="str">
        <x:v>CSE2ALG - Test</x:v>
      </x:c>
      <x:c r="C468" s="35" t="n">
        <x:v>89</x:v>
      </x:c>
      <x:c r="D468" s="36" t="str">
        <x:v>This excellent result demonstrates confident and independent command of the relevant learning themes, particularly overall objectives of Algorithms and Data Structures, identifying data structures and searching and sorting algorithms in computing contexts, and implementing data structures and searching and sorting algorithms in Java. The work is clear, accurate and well justified, with only minor opportunities to further polish explanation or evaluation.</x:v>
      </x:c>
      <x:c r="E468" s="36" t="str">
        <x:v>SILO1: overall objectives of Algorithms and Data Structures; SILO2: identifying data structures and searching and sorting algorithms in computing contexts; SILO3: implementing data structures and searching and sorting algorithms in Java</x:v>
      </x:c>
      <x:c r="F468" s="35" t="n">
        <x:v>0.2</x:v>
      </x:c>
      <x:c r="G468" s="37" t="n">
        <x:f>C468*F468</x:f>
        <x:v>17.8</x:v>
      </x:c>
    </x:row>
    <x:row r="469" ht="15" hidden="0" customHeight="1">
      <x:c r="A469" s="34" t="str">
        <x:v>STU0043</x:v>
      </x:c>
      <x:c r="B469" s="35" t="str">
        <x:v>CSE2ALG - Assignment</x:v>
      </x:c>
      <x:c r="C469" s="35" t="n">
        <x:v>86</x:v>
      </x:c>
      <x:c r="D469" s="36" t="str">
        <x:v>This excellent result demonstrates confident and independent command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The work is clear, accurate and well justified, with only minor opportunities to further polish explanation or evaluation.</x:v>
      </x:c>
      <x:c r="E469"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469" s="35" t="n">
        <x:v>0.3</x:v>
      </x:c>
      <x:c r="G469" s="37" t="n">
        <x:f>C469*F469</x:f>
        <x:v>25.8</x:v>
      </x:c>
    </x:row>
    <x:row r="470" ht="15" hidden="0" customHeight="1">
      <x:c r="A470" s="34" t="str">
        <x:v>STU0043</x:v>
      </x:c>
      <x:c r="B470" s="35" t="str">
        <x:v>CSE2ALG - Central examination</x:v>
      </x:c>
      <x:c r="C470" s="35" t="n">
        <x:v>89</x:v>
      </x:c>
      <x:c r="D470" s="36" t="str">
        <x:v>This excellent result demonstrates confident and independent command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The work is clear, accurate and well justified, with only minor opportunities to further polish explanation or evaluation.</x:v>
      </x:c>
      <x:c r="E470"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470" s="35" t="n">
        <x:v>0.5</x:v>
      </x:c>
      <x:c r="G470" s="37" t="n">
        <x:f>C470*F470</x:f>
        <x:v>44.5</x:v>
      </x:c>
    </x:row>
    <x:row r="471" ht="15" hidden="0" customHeight="1">
      <x:c r="A471" s="34" t="str">
        <x:v>STU0043</x:v>
      </x:c>
      <x:c r="B471" s="35" t="str">
        <x:v>CSE3CAP - Oral presentation: Project Milestone Presentation</x:v>
      </x:c>
      <x:c r="C471" s="35" t="n">
        <x:v>86</x:v>
      </x:c>
      <x:c r="D471" s="36" t="str">
        <x:v>This excellent result demonstrates confident and independent command of the relevant learning themes, particularly reporting project outcomes to technical and non-technical audiences and reflecting on feedback. The work is clear, accurate and well justified, with only minor opportunities to further polish explanation or evaluation.</x:v>
      </x:c>
      <x:c r="E471" s="36" t="str">
        <x:v>SILO3: reporting project outcomes to technical and non-technical audiences and reflecting on feedback</x:v>
      </x:c>
      <x:c r="F471" s="35" t="n">
        <x:v>0.1</x:v>
      </x:c>
      <x:c r="G471" s="37" t="n">
        <x:f>C471*F471</x:f>
        <x:v>8.6</x:v>
      </x:c>
    </x:row>
    <x:row r="472" ht="15" hidden="0" customHeight="1">
      <x:c r="A472" s="34" t="str">
        <x:v>STU0043</x:v>
      </x:c>
      <x:c r="B472" s="35" t="str">
        <x:v>CSE3CAP - Oral presentation: Final Project Presentation</x:v>
      </x:c>
      <x:c r="C472" s="35" t="n">
        <x:v>80</x:v>
      </x:c>
      <x:c r="D472"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472" s="36" t="str">
        <x:v>SILO3: reporting project outcomes to technical and non-technical audiences and reflecting on feedback</x:v>
      </x:c>
      <x:c r="F472" s="35" t="n">
        <x:v>0.2</x:v>
      </x:c>
      <x:c r="G472" s="37" t="n">
        <x:f>C472*F472</x:f>
        <x:v>16</x:v>
      </x:c>
    </x:row>
    <x:row r="473" ht="15" hidden="0" customHeight="1">
      <x:c r="A473" s="34" t="str">
        <x:v>STU0043</x:v>
      </x:c>
      <x:c r="B473" s="35" t="str">
        <x:v>CSE3CAP - Assignment: Final written Project Report</x:v>
      </x:c>
      <x:c r="C473" s="35" t="n">
        <x:v>80</x:v>
      </x:c>
      <x:c r="D473" s="36" t="str">
        <x:v>This strong result shows well-developed understanding of the relevant learning themes, particularly industry standard technical solutions in software or cybersecurity practice and professional system documentation and advanced technical reporting to industry standards. Further improvement would come from deeper justification, more consistent evaluation evidence and tighter links between decisions and implementation details.</x:v>
      </x:c>
      <x:c r="E473" s="36" t="str">
        <x:v>SILO2: industry standard technical solutions in software or cybersecurity practice; SILO4: professional system documentation and advanced technical reporting to industry standards</x:v>
      </x:c>
      <x:c r="F473" s="35" t="n">
        <x:v>0.35</x:v>
      </x:c>
      <x:c r="G473" s="37" t="n">
        <x:f>C473*F473</x:f>
        <x:v>28</x:v>
      </x:c>
    </x:row>
    <x:row r="474" ht="15" hidden="0" customHeight="1">
      <x:c r="A474" s="34" t="str">
        <x:v>STU0043</x:v>
      </x:c>
      <x:c r="B474" s="35" t="str">
        <x:v>CSE3CAP - Assignment: Sprint Project management reports</x:v>
      </x:c>
      <x:c r="C474" s="35" t="n">
        <x:v>85</x:v>
      </x:c>
      <x:c r="D474" s="36" t="str">
        <x:v>This excellent result demonstrates confident and independent command of the relevant learning themes, particularly advanced project management during substantive development implementation and industry standard technical solutions in software or cybersecurity practice. The work is clear, accurate and well justified, with only minor opportunities to further polish explanation or evaluation.</x:v>
      </x:c>
      <x:c r="E474" s="36" t="str">
        <x:v>SILO1: advanced project management during substantive development implementation; SILO2: industry standard technical solutions in software or cybersecurity practice</x:v>
      </x:c>
      <x:c r="F474" s="35" t="n">
        <x:v>0.35</x:v>
      </x:c>
      <x:c r="G474" s="37" t="n">
        <x:f>C474*F474</x:f>
        <x:v>29.749999999999996</x:v>
      </x:c>
    </x:row>
    <x:row r="475" ht="15" hidden="0" customHeight="1">
      <x:c r="A475" s="34" t="str">
        <x:v>STU0044</x:v>
      </x:c>
      <x:c r="B475" s="35" t="str">
        <x:v>CSE1OOF - Test</x:v>
      </x:c>
      <x:c r="C475" s="35" t="n">
        <x:v>74</x:v>
      </x:c>
      <x:c r="D475"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475" s="36" t="str">
        <x:v>SILO1: analysis/design/implementation compared with object-oriented modelling using objects that combine data structure and behaviour; SILO2: abstract data types and encapsulation to localise and minimise change</x:v>
      </x:c>
      <x:c r="F475" s="35" t="n">
        <x:v>0.15</x:v>
      </x:c>
      <x:c r="G475" s="37" t="n">
        <x:f>C475*F475</x:f>
        <x:v>11.1</x:v>
      </x:c>
    </x:row>
    <x:row r="476" ht="15" hidden="0" customHeight="1">
      <x:c r="A476" s="34" t="str">
        <x:v>STU0044</x:v>
      </x:c>
      <x:c r="B476" s="35" t="str">
        <x:v>CSE1OOF - Practical demonstration</x:v>
      </x:c>
      <x:c r="C476" s="35" t="n">
        <x:v>73</x:v>
      </x:c>
      <x:c r="D476"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476" s="36" t="str">
        <x:v>SILO2: abstract data types and encapsulation to localise and minimise change; SILO3: code sharing and reuse through object-oriented techniques to reduce development time; SILO4: object-oriented design and implementation of computer programs for real-life problems</x:v>
      </x:c>
      <x:c r="F476" s="35" t="n">
        <x:v>0.2</x:v>
      </x:c>
      <x:c r="G476" s="37" t="n">
        <x:f>C476*F476</x:f>
        <x:v>14.600000000000001</x:v>
      </x:c>
    </x:row>
    <x:row r="477" ht="15" hidden="0" customHeight="1">
      <x:c r="A477" s="34" t="str">
        <x:v>STU0044</x:v>
      </x:c>
      <x:c r="B477" s="35" t="str">
        <x:v>CSE1OOF - Assignment</x:v>
      </x:c>
      <x:c r="C477" s="35" t="n">
        <x:v>77</x:v>
      </x:c>
      <x:c r="D477"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477" s="36" t="str">
        <x:v>SILO2: abstract data types and encapsulation to localise and minimise change; SILO3: code sharing and reuse through object-oriented techniques to reduce development time; SILO4: object-oriented design and implementation of computer programs for real-life problems</x:v>
      </x:c>
      <x:c r="F477" s="35" t="n">
        <x:v>0.25</x:v>
      </x:c>
      <x:c r="G477" s="37" t="n">
        <x:f>C477*F477</x:f>
        <x:v>19.25</x:v>
      </x:c>
    </x:row>
    <x:row r="478" ht="15" hidden="0" customHeight="1">
      <x:c r="A478" s="34" t="str">
        <x:v>STU0044</x:v>
      </x:c>
      <x:c r="B478" s="35" t="str">
        <x:v>CSE1OOF - Central examination</x:v>
      </x:c>
      <x:c r="C478" s="35" t="n">
        <x:v>74</x:v>
      </x:c>
      <x:c r="D478"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478"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478" s="35" t="n">
        <x:v>0.4</x:v>
      </x:c>
      <x:c r="G478" s="37" t="n">
        <x:f>C478*F478</x:f>
        <x:v>29.6</x:v>
      </x:c>
    </x:row>
    <x:row r="479" ht="15" hidden="0" customHeight="1">
      <x:c r="A479" s="34" t="str">
        <x:v>STU0044</x:v>
      </x:c>
      <x:c r="B479" s="35" t="str">
        <x:v>CSE2ALG - Test</x:v>
      </x:c>
      <x:c r="C479" s="35" t="n">
        <x:v>81</x:v>
      </x:c>
      <x:c r="D479" s="36" t="str">
        <x:v>This strong result shows well-developed understanding of the relevant learning themes, particularly overall objectives of Algorithms and Data Structures, identifying data structures and searching and sorting algorithms in computing contexts, and implementing data structures and searching and sorting algorithms in Java. Further improvement would come from deeper justification, more consistent evaluation evidence and tighter links between decisions and implementation details.</x:v>
      </x:c>
      <x:c r="E479" s="36" t="str">
        <x:v>SILO1: overall objectives of Algorithms and Data Structures; SILO2: identifying data structures and searching and sorting algorithms in computing contexts; SILO3: implementing data structures and searching and sorting algorithms in Java</x:v>
      </x:c>
      <x:c r="F479" s="35" t="n">
        <x:v>0.2</x:v>
      </x:c>
      <x:c r="G479" s="37" t="n">
        <x:f>C479*F479</x:f>
        <x:v>16.2</x:v>
      </x:c>
    </x:row>
    <x:row r="480" ht="15" hidden="0" customHeight="1">
      <x:c r="A480" s="34" t="str">
        <x:v>STU0044</x:v>
      </x:c>
      <x:c r="B480" s="35" t="str">
        <x:v>CSE2ALG - Assignment</x:v>
      </x:c>
      <x:c r="C480" s="35" t="n">
        <x:v>82</x:v>
      </x:c>
      <x:c r="D480" s="36" t="str">
        <x:v>This strong result shows well-developed understanding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Further improvement would come from deeper justification, more consistent evaluation evidence and tighter links between decisions and implementation details.</x:v>
      </x:c>
      <x:c r="E480"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480" s="35" t="n">
        <x:v>0.3</x:v>
      </x:c>
      <x:c r="G480" s="37" t="n">
        <x:f>C480*F480</x:f>
        <x:v>24.599999999999998</x:v>
      </x:c>
    </x:row>
    <x:row r="481" ht="15" hidden="0" customHeight="1">
      <x:c r="A481" s="34" t="str">
        <x:v>STU0044</x:v>
      </x:c>
      <x:c r="B481" s="35" t="str">
        <x:v>CSE2ALG - Central examination</x:v>
      </x:c>
      <x:c r="C481" s="35" t="n">
        <x:v>79</x:v>
      </x:c>
      <x:c r="D481" s="36" t="str">
        <x:v>This strong result shows well-developed understanding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Further improvement would come from deeper justification, more consistent evaluation evidence and tighter links between decisions and implementation details.</x:v>
      </x:c>
      <x:c r="E481"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481" s="35" t="n">
        <x:v>0.5</x:v>
      </x:c>
      <x:c r="G481" s="37" t="n">
        <x:f>C481*F481</x:f>
        <x:v>39.5</x:v>
      </x:c>
    </x:row>
    <x:row r="482" ht="15" hidden="0" customHeight="1">
      <x:c r="A482" s="34" t="str">
        <x:v>STU0044</x:v>
      </x:c>
      <x:c r="B482" s="35" t="str">
        <x:v>CSE3CAP - Oral presentation: Project Milestone Presentation</x:v>
      </x:c>
      <x:c r="C482" s="35" t="n">
        <x:v>76</x:v>
      </x:c>
      <x:c r="D482"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482" s="36" t="str">
        <x:v>SILO3: reporting project outcomes to technical and non-technical audiences and reflecting on feedback</x:v>
      </x:c>
      <x:c r="F482" s="35" t="n">
        <x:v>0.1</x:v>
      </x:c>
      <x:c r="G482" s="37" t="n">
        <x:f>C482*F482</x:f>
        <x:v>7.6000000000000005</x:v>
      </x:c>
    </x:row>
    <x:row r="483" ht="15" hidden="0" customHeight="1">
      <x:c r="A483" s="34" t="str">
        <x:v>STU0044</x:v>
      </x:c>
      <x:c r="B483" s="35" t="str">
        <x:v>CSE3CAP - Oral presentation: Final Project Presentation</x:v>
      </x:c>
      <x:c r="C483" s="35" t="n">
        <x:v>76</x:v>
      </x:c>
      <x:c r="D483"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483" s="36" t="str">
        <x:v>SILO3: reporting project outcomes to technical and non-technical audiences and reflecting on feedback</x:v>
      </x:c>
      <x:c r="F483" s="35" t="n">
        <x:v>0.2</x:v>
      </x:c>
      <x:c r="G483" s="37" t="n">
        <x:f>C483*F483</x:f>
        <x:v>15.200000000000001</x:v>
      </x:c>
    </x:row>
    <x:row r="484" ht="15" hidden="0" customHeight="1">
      <x:c r="A484" s="34" t="str">
        <x:v>STU0044</x:v>
      </x:c>
      <x:c r="B484" s="35" t="str">
        <x:v>CSE3CAP - Assignment: Final written Project Report</x:v>
      </x:c>
      <x:c r="C484" s="35" t="n">
        <x:v>76</x:v>
      </x:c>
      <x:c r="D484" s="36" t="str">
        <x:v>This strong result shows well-developed understanding of the relevant learning themes, particularly industry standard technical solutions in software or cybersecurity practice and professional system documentation and advanced technical reporting to industry standards. Further improvement would come from deeper justification, more consistent evaluation evidence and tighter links between decisions and implementation details.</x:v>
      </x:c>
      <x:c r="E484" s="36" t="str">
        <x:v>SILO2: industry standard technical solutions in software or cybersecurity practice; SILO4: professional system documentation and advanced technical reporting to industry standards</x:v>
      </x:c>
      <x:c r="F484" s="35" t="n">
        <x:v>0.35</x:v>
      </x:c>
      <x:c r="G484" s="37" t="n">
        <x:f>C484*F484</x:f>
        <x:v>26.599999999999998</x:v>
      </x:c>
    </x:row>
    <x:row r="485" ht="15" hidden="0" customHeight="1">
      <x:c r="A485" s="34" t="str">
        <x:v>STU0044</x:v>
      </x:c>
      <x:c r="B485" s="35" t="str">
        <x:v>CSE3CAP - Assignment: Sprint Project management reports</x:v>
      </x:c>
      <x:c r="C485" s="35" t="n">
        <x:v>75</x:v>
      </x:c>
      <x:c r="D485" s="36" t="str">
        <x:v>This strong result shows well-developed understanding of the relevant learning themes, particularly advanced project management during substantive development implementation and industry standard technical solutions in software or cybersecurity practice. Further improvement would come from deeper justification, more consistent evaluation evidence and tighter links between decisions and implementation details.</x:v>
      </x:c>
      <x:c r="E485" s="36" t="str">
        <x:v>SILO1: advanced project management during substantive development implementation; SILO2: industry standard technical solutions in software or cybersecurity practice</x:v>
      </x:c>
      <x:c r="F485" s="35" t="n">
        <x:v>0.35</x:v>
      </x:c>
      <x:c r="G485" s="37" t="n">
        <x:f>C485*F485</x:f>
        <x:v>26.25</x:v>
      </x:c>
    </x:row>
    <x:row r="486" ht="15" hidden="0" customHeight="1">
      <x:c r="A486" s="34" t="str">
        <x:v>STU0045</x:v>
      </x:c>
      <x:c r="B486" s="35" t="str">
        <x:v>CSE1OOF - Test</x:v>
      </x:c>
      <x:c r="C486" s="35" t="n">
        <x:v>82</x:v>
      </x:c>
      <x:c r="D486" s="36" t="str">
        <x:v>This strong result shows well-developed understanding of the relevant learning themes, particularly analysis/design/implementation compared with object-oriented modelling using objects that combine data structure and behaviour and abstract data types and encapsulation to localise and minimise change. Further improvement would come from deeper justification, more consistent evaluation evidence and tighter links between decisions and implementation details.</x:v>
      </x:c>
      <x:c r="E486" s="36" t="str">
        <x:v>SILO1: analysis/design/implementation compared with object-oriented modelling using objects that combine data structure and behaviour; SILO2: abstract data types and encapsulation to localise and minimise change</x:v>
      </x:c>
      <x:c r="F486" s="35" t="n">
        <x:v>0.15</x:v>
      </x:c>
      <x:c r="G486" s="37" t="n">
        <x:f>C486*F486</x:f>
        <x:v>12.299999999999999</x:v>
      </x:c>
    </x:row>
    <x:row r="487" ht="15" hidden="0" customHeight="1">
      <x:c r="A487" s="34" t="str">
        <x:v>STU0045</x:v>
      </x:c>
      <x:c r="B487" s="35" t="str">
        <x:v>CSE1OOF - Practical demonstration</x:v>
      </x:c>
      <x:c r="C487" s="35" t="n">
        <x:v>84</x:v>
      </x:c>
      <x:c r="D487"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487" s="36" t="str">
        <x:v>SILO2: abstract data types and encapsulation to localise and minimise change; SILO3: code sharing and reuse through object-oriented techniques to reduce development time; SILO4: object-oriented design and implementation of computer programs for real-life problems</x:v>
      </x:c>
      <x:c r="F487" s="35" t="n">
        <x:v>0.2</x:v>
      </x:c>
      <x:c r="G487" s="37" t="n">
        <x:f>C487*F487</x:f>
        <x:v>16.8</x:v>
      </x:c>
    </x:row>
    <x:row r="488" ht="15" hidden="0" customHeight="1">
      <x:c r="A488" s="34" t="str">
        <x:v>STU0045</x:v>
      </x:c>
      <x:c r="B488" s="35" t="str">
        <x:v>CSE1OOF - Assignment</x:v>
      </x:c>
      <x:c r="C488" s="35" t="n">
        <x:v>87</x:v>
      </x:c>
      <x:c r="D488" s="36" t="str">
        <x:v>This excellent result demonstrates confident and independent command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work is clear, accurate and well justified, with only minor opportunities to further polish explanation or evaluation.</x:v>
      </x:c>
      <x:c r="E488" s="36" t="str">
        <x:v>SILO2: abstract data types and encapsulation to localise and minimise change; SILO3: code sharing and reuse through object-oriented techniques to reduce development time; SILO4: object-oriented design and implementation of computer programs for real-life problems</x:v>
      </x:c>
      <x:c r="F488" s="35" t="n">
        <x:v>0.25</x:v>
      </x:c>
      <x:c r="G488" s="37" t="n">
        <x:f>C488*F488</x:f>
        <x:v>21.75</x:v>
      </x:c>
    </x:row>
    <x:row r="489" ht="15" hidden="0" customHeight="1">
      <x:c r="A489" s="34" t="str">
        <x:v>STU0045</x:v>
      </x:c>
      <x:c r="B489" s="35" t="str">
        <x:v>CSE1OOF - Central examination</x:v>
      </x:c>
      <x:c r="C489" s="35" t="n">
        <x:v>83</x:v>
      </x:c>
      <x:c r="D489" s="36" t="str">
        <x:v>This strong result shows well-developed understanding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Further improvement would come from deeper justification, more consistent evaluation evidence and tighter links between decisions and implementation details.</x:v>
      </x:c>
      <x:c r="E489"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489" s="35" t="n">
        <x:v>0.4</x:v>
      </x:c>
      <x:c r="G489" s="37" t="n">
        <x:f>C489*F489</x:f>
        <x:v>33.2</x:v>
      </x:c>
    </x:row>
    <x:row r="490" ht="15" hidden="0" customHeight="1">
      <x:c r="A490" s="34" t="str">
        <x:v>STU0045</x:v>
      </x:c>
      <x:c r="B490" s="35" t="str">
        <x:v>CSE2ALG - Test</x:v>
      </x:c>
      <x:c r="C490" s="35" t="n">
        <x:v>84</x:v>
      </x:c>
      <x:c r="D490" s="36" t="str">
        <x:v>This strong result shows well-developed understanding of the relevant learning themes, particularly overall objectives of Algorithms and Data Structures, identifying data structures and searching and sorting algorithms in computing contexts, and implementing data structures and searching and sorting algorithms in Java. Further improvement would come from deeper justification, more consistent evaluation evidence and tighter links between decisions and implementation details.</x:v>
      </x:c>
      <x:c r="E490" s="36" t="str">
        <x:v>SILO1: overall objectives of Algorithms and Data Structures; SILO2: identifying data structures and searching and sorting algorithms in computing contexts; SILO3: implementing data structures and searching and sorting algorithms in Java</x:v>
      </x:c>
      <x:c r="F490" s="35" t="n">
        <x:v>0.2</x:v>
      </x:c>
      <x:c r="G490" s="37" t="n">
        <x:f>C490*F490</x:f>
        <x:v>16.8</x:v>
      </x:c>
    </x:row>
    <x:row r="491" ht="15" hidden="0" customHeight="1">
      <x:c r="A491" s="34" t="str">
        <x:v>STU0045</x:v>
      </x:c>
      <x:c r="B491" s="35" t="str">
        <x:v>CSE2ALG - Assignment</x:v>
      </x:c>
      <x:c r="C491" s="35" t="n">
        <x:v>84</x:v>
      </x:c>
      <x:c r="D491" s="36" t="str">
        <x:v>This strong result shows well-developed understanding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Further improvement would come from deeper justification, more consistent evaluation evidence and tighter links between decisions and implementation details.</x:v>
      </x:c>
      <x:c r="E491"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491" s="35" t="n">
        <x:v>0.3</x:v>
      </x:c>
      <x:c r="G491" s="37" t="n">
        <x:f>C491*F491</x:f>
        <x:v>25.2</x:v>
      </x:c>
    </x:row>
    <x:row r="492" ht="15" hidden="0" customHeight="1">
      <x:c r="A492" s="34" t="str">
        <x:v>STU0045</x:v>
      </x:c>
      <x:c r="B492" s="35" t="str">
        <x:v>CSE2ALG - Central examination</x:v>
      </x:c>
      <x:c r="C492" s="35" t="n">
        <x:v>86</x:v>
      </x:c>
      <x:c r="D492" s="36" t="str">
        <x:v>This excellent result demonstrates confident and independent command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The work is clear, accurate and well justified, with only minor opportunities to further polish explanation or evaluation.</x:v>
      </x:c>
      <x:c r="E492"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492" s="35" t="n">
        <x:v>0.5</x:v>
      </x:c>
      <x:c r="G492" s="37" t="n">
        <x:f>C492*F492</x:f>
        <x:v>43</x:v>
      </x:c>
    </x:row>
    <x:row r="493" ht="15" hidden="0" customHeight="1">
      <x:c r="A493" s="34" t="str">
        <x:v>STU0045</x:v>
      </x:c>
      <x:c r="B493" s="35" t="str">
        <x:v>CSE3CAP - Oral presentation: Project Milestone Presentation</x:v>
      </x:c>
      <x:c r="C493" s="35" t="n">
        <x:v>88</x:v>
      </x:c>
      <x:c r="D493" s="36" t="str">
        <x:v>This excellent result demonstrates confident and independent command of the relevant learning themes, particularly reporting project outcomes to technical and non-technical audiences and reflecting on feedback. The work is clear, accurate and well justified, with only minor opportunities to further polish explanation or evaluation.</x:v>
      </x:c>
      <x:c r="E493" s="36" t="str">
        <x:v>SILO3: reporting project outcomes to technical and non-technical audiences and reflecting on feedback</x:v>
      </x:c>
      <x:c r="F493" s="35" t="n">
        <x:v>0.1</x:v>
      </x:c>
      <x:c r="G493" s="37" t="n">
        <x:f>C493*F493</x:f>
        <x:v>8.8</x:v>
      </x:c>
    </x:row>
    <x:row r="494" ht="15" hidden="0" customHeight="1">
      <x:c r="A494" s="34" t="str">
        <x:v>STU0045</x:v>
      </x:c>
      <x:c r="B494" s="35" t="str">
        <x:v>CSE3CAP - Oral presentation: Final Project Presentation</x:v>
      </x:c>
      <x:c r="C494" s="35" t="n">
        <x:v>83</x:v>
      </x:c>
      <x:c r="D494"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494" s="36" t="str">
        <x:v>SILO3: reporting project outcomes to technical and non-technical audiences and reflecting on feedback</x:v>
      </x:c>
      <x:c r="F494" s="35" t="n">
        <x:v>0.2</x:v>
      </x:c>
      <x:c r="G494" s="37" t="n">
        <x:f>C494*F494</x:f>
        <x:v>16.6</x:v>
      </x:c>
    </x:row>
    <x:row r="495" ht="15" hidden="0" customHeight="1">
      <x:c r="A495" s="34" t="str">
        <x:v>STU0045</x:v>
      </x:c>
      <x:c r="B495" s="35" t="str">
        <x:v>CSE3CAP - Assignment: Final written Project Report</x:v>
      </x:c>
      <x:c r="C495" s="35" t="n">
        <x:v>87</x:v>
      </x:c>
      <x:c r="D495" s="36" t="str">
        <x:v>This excellent result demonstrates confident and independent command of the relevant learning themes, particularly industry standard technical solutions in software or cybersecurity practice and professional system documentation and advanced technical reporting to industry standards. The work is clear, accurate and well justified, with only minor opportunities to further polish explanation or evaluation.</x:v>
      </x:c>
      <x:c r="E495" s="36" t="str">
        <x:v>SILO2: industry standard technical solutions in software or cybersecurity practice; SILO4: professional system documentation and advanced technical reporting to industry standards</x:v>
      </x:c>
      <x:c r="F495" s="35" t="n">
        <x:v>0.35</x:v>
      </x:c>
      <x:c r="G495" s="37" t="n">
        <x:f>C495*F495</x:f>
        <x:v>30.45</x:v>
      </x:c>
    </x:row>
    <x:row r="496" ht="15" hidden="0" customHeight="1">
      <x:c r="A496" s="34" t="str">
        <x:v>STU0045</x:v>
      </x:c>
      <x:c r="B496" s="35" t="str">
        <x:v>CSE3CAP - Assignment: Sprint Project management reports</x:v>
      </x:c>
      <x:c r="C496" s="35" t="n">
        <x:v>87</x:v>
      </x:c>
      <x:c r="D496" s="36" t="str">
        <x:v>This excellent result demonstrates confident and independent command of the relevant learning themes, particularly advanced project management during substantive development implementation and industry standard technical solutions in software or cybersecurity practice. The work is clear, accurate and well justified, with only minor opportunities to further polish explanation or evaluation.</x:v>
      </x:c>
      <x:c r="E496" s="36" t="str">
        <x:v>SILO1: advanced project management during substantive development implementation; SILO2: industry standard technical solutions in software or cybersecurity practice</x:v>
      </x:c>
      <x:c r="F496" s="35" t="n">
        <x:v>0.35</x:v>
      </x:c>
      <x:c r="G496" s="37" t="n">
        <x:f>C496*F496</x:f>
        <x:v>30.45</x:v>
      </x:c>
    </x:row>
    <x:row r="497" ht="15" hidden="0" customHeight="1">
      <x:c r="A497" s="34" t="str">
        <x:v>STU0046</x:v>
      </x:c>
      <x:c r="B497" s="35" t="str">
        <x:v>CSE1OOF - Test</x:v>
      </x:c>
      <x:c r="C497" s="35" t="n">
        <x:v>77</x:v>
      </x:c>
      <x:c r="D497" s="36" t="str">
        <x:v>This strong result shows well-developed understanding of the relevant learning themes, particularly analysis/design/implementation compared with object-oriented modelling using objects that combine data structure and behaviour and abstract data types and encapsulation to localise and minimise change. Further improvement would come from deeper justification, more consistent evaluation evidence and tighter links between decisions and implementation details.</x:v>
      </x:c>
      <x:c r="E497" s="36" t="str">
        <x:v>SILO1: analysis/design/implementation compared with object-oriented modelling using objects that combine data structure and behaviour; SILO2: abstract data types and encapsulation to localise and minimise change</x:v>
      </x:c>
      <x:c r="F497" s="35" t="n">
        <x:v>0.15</x:v>
      </x:c>
      <x:c r="G497" s="37" t="n">
        <x:f>C497*F497</x:f>
        <x:v>11.549999999999999</x:v>
      </x:c>
    </x:row>
    <x:row r="498" ht="15" hidden="0" customHeight="1">
      <x:c r="A498" s="34" t="str">
        <x:v>STU0046</x:v>
      </x:c>
      <x:c r="B498" s="35" t="str">
        <x:v>CSE1OOF - Practical demonstration</x:v>
      </x:c>
      <x:c r="C498" s="35" t="n">
        <x:v>80</x:v>
      </x:c>
      <x:c r="D498"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498" s="36" t="str">
        <x:v>SILO2: abstract data types and encapsulation to localise and minimise change; SILO3: code sharing and reuse through object-oriented techniques to reduce development time; SILO4: object-oriented design and implementation of computer programs for real-life problems</x:v>
      </x:c>
      <x:c r="F498" s="35" t="n">
        <x:v>0.2</x:v>
      </x:c>
      <x:c r="G498" s="37" t="n">
        <x:f>C498*F498</x:f>
        <x:v>16</x:v>
      </x:c>
    </x:row>
    <x:row r="499" ht="15" hidden="0" customHeight="1">
      <x:c r="A499" s="34" t="str">
        <x:v>STU0046</x:v>
      </x:c>
      <x:c r="B499" s="35" t="str">
        <x:v>CSE1OOF - Assignment</x:v>
      </x:c>
      <x:c r="C499" s="35" t="n">
        <x:v>81</x:v>
      </x:c>
      <x:c r="D499"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499" s="36" t="str">
        <x:v>SILO2: abstract data types and encapsulation to localise and minimise change; SILO3: code sharing and reuse through object-oriented techniques to reduce development time; SILO4: object-oriented design and implementation of computer programs for real-life problems</x:v>
      </x:c>
      <x:c r="F499" s="35" t="n">
        <x:v>0.25</x:v>
      </x:c>
      <x:c r="G499" s="37" t="n">
        <x:f>C499*F499</x:f>
        <x:v>20.25</x:v>
      </x:c>
    </x:row>
    <x:row r="500" ht="15" hidden="0" customHeight="1">
      <x:c r="A500" s="34" t="str">
        <x:v>STU0046</x:v>
      </x:c>
      <x:c r="B500" s="35" t="str">
        <x:v>CSE1OOF - Central examination</x:v>
      </x:c>
      <x:c r="C500" s="35" t="n">
        <x:v>76</x:v>
      </x:c>
      <x:c r="D500" s="36" t="str">
        <x:v>This strong result shows well-developed understanding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Further improvement would come from deeper justification, more consistent evaluation evidence and tighter links between decisions and implementation details.</x:v>
      </x:c>
      <x:c r="E500"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500" s="35" t="n">
        <x:v>0.4</x:v>
      </x:c>
      <x:c r="G500" s="37" t="n">
        <x:f>C500*F500</x:f>
        <x:v>30.400000000000002</x:v>
      </x:c>
    </x:row>
    <x:row r="501" ht="15" hidden="0" customHeight="1">
      <x:c r="A501" s="34" t="str">
        <x:v>STU0046</x:v>
      </x:c>
      <x:c r="B501" s="35" t="str">
        <x:v>CSE2ALG - Test</x:v>
      </x:c>
      <x:c r="C501" s="35" t="n">
        <x:v>78</x:v>
      </x:c>
      <x:c r="D501" s="36" t="str">
        <x:v>This strong result shows well-developed understanding of the relevant learning themes, particularly overall objectives of Algorithms and Data Structures, identifying data structures and searching and sorting algorithms in computing contexts, and implementing data structures and searching and sorting algorithms in Java. Further improvement would come from deeper justification, more consistent evaluation evidence and tighter links between decisions and implementation details.</x:v>
      </x:c>
      <x:c r="E501" s="36" t="str">
        <x:v>SILO1: overall objectives of Algorithms and Data Structures; SILO2: identifying data structures and searching and sorting algorithms in computing contexts; SILO3: implementing data structures and searching and sorting algorithms in Java</x:v>
      </x:c>
      <x:c r="F501" s="35" t="n">
        <x:v>0.2</x:v>
      </x:c>
      <x:c r="G501" s="37" t="n">
        <x:f>C501*F501</x:f>
        <x:v>15.600000000000001</x:v>
      </x:c>
    </x:row>
    <x:row r="502" ht="15" hidden="0" customHeight="1">
      <x:c r="A502" s="34" t="str">
        <x:v>STU0046</x:v>
      </x:c>
      <x:c r="B502" s="35" t="str">
        <x:v>CSE2ALG - Assignment</x:v>
      </x:c>
      <x:c r="C502" s="35" t="n">
        <x:v>80</x:v>
      </x:c>
      <x:c r="D502" s="36" t="str">
        <x:v>This strong result shows well-developed understanding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Further improvement would come from deeper justification, more consistent evaluation evidence and tighter links between decisions and implementation details.</x:v>
      </x:c>
      <x:c r="E502"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502" s="35" t="n">
        <x:v>0.3</x:v>
      </x:c>
      <x:c r="G502" s="37" t="n">
        <x:f>C502*F502</x:f>
        <x:v>24</x:v>
      </x:c>
    </x:row>
    <x:row r="503" ht="15" hidden="0" customHeight="1">
      <x:c r="A503" s="34" t="str">
        <x:v>STU0046</x:v>
      </x:c>
      <x:c r="B503" s="35" t="str">
        <x:v>CSE2ALG - Central examination</x:v>
      </x:c>
      <x:c r="C503" s="35" t="n">
        <x:v>77</x:v>
      </x:c>
      <x:c r="D503" s="36" t="str">
        <x:v>This strong result shows well-developed understanding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Further improvement would come from deeper justification, more consistent evaluation evidence and tighter links between decisions and implementation details.</x:v>
      </x:c>
      <x:c r="E503"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503" s="35" t="n">
        <x:v>0.5</x:v>
      </x:c>
      <x:c r="G503" s="37" t="n">
        <x:f>C503*F503</x:f>
        <x:v>38.5</x:v>
      </x:c>
    </x:row>
    <x:row r="504" ht="15" hidden="0" customHeight="1">
      <x:c r="A504" s="34" t="str">
        <x:v>STU0046</x:v>
      </x:c>
      <x:c r="B504" s="35" t="str">
        <x:v>CSE3CAP - Oral presentation: Project Milestone Presentation</x:v>
      </x:c>
      <x:c r="C504" s="35" t="n">
        <x:v>78</x:v>
      </x:c>
      <x:c r="D504"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504" s="36" t="str">
        <x:v>SILO3: reporting project outcomes to technical and non-technical audiences and reflecting on feedback</x:v>
      </x:c>
      <x:c r="F504" s="35" t="n">
        <x:v>0.1</x:v>
      </x:c>
      <x:c r="G504" s="37" t="n">
        <x:f>C504*F504</x:f>
        <x:v>7.800000000000001</x:v>
      </x:c>
    </x:row>
    <x:row r="505" ht="15" hidden="0" customHeight="1">
      <x:c r="A505" s="34" t="str">
        <x:v>STU0046</x:v>
      </x:c>
      <x:c r="B505" s="35" t="str">
        <x:v>CSE3CAP - Oral presentation: Final Project Presentation</x:v>
      </x:c>
      <x:c r="C505" s="35" t="n">
        <x:v>82</x:v>
      </x:c>
      <x:c r="D505"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505" s="36" t="str">
        <x:v>SILO3: reporting project outcomes to technical and non-technical audiences and reflecting on feedback</x:v>
      </x:c>
      <x:c r="F505" s="35" t="n">
        <x:v>0.2</x:v>
      </x:c>
      <x:c r="G505" s="37" t="n">
        <x:f>C505*F505</x:f>
        <x:v>16.400000000000002</x:v>
      </x:c>
    </x:row>
    <x:row r="506" ht="15" hidden="0" customHeight="1">
      <x:c r="A506" s="34" t="str">
        <x:v>STU0046</x:v>
      </x:c>
      <x:c r="B506" s="35" t="str">
        <x:v>CSE3CAP - Assignment: Final written Project Report</x:v>
      </x:c>
      <x:c r="C506" s="35" t="n">
        <x:v>78</x:v>
      </x:c>
      <x:c r="D506" s="36" t="str">
        <x:v>This strong result shows well-developed understanding of the relevant learning themes, particularly industry standard technical solutions in software or cybersecurity practice and professional system documentation and advanced technical reporting to industry standards. Further improvement would come from deeper justification, more consistent evaluation evidence and tighter links between decisions and implementation details.</x:v>
      </x:c>
      <x:c r="E506" s="36" t="str">
        <x:v>SILO2: industry standard technical solutions in software or cybersecurity practice; SILO4: professional system documentation and advanced technical reporting to industry standards</x:v>
      </x:c>
      <x:c r="F506" s="35" t="n">
        <x:v>0.35</x:v>
      </x:c>
      <x:c r="G506" s="37" t="n">
        <x:f>C506*F506</x:f>
        <x:v>27.299999999999997</x:v>
      </x:c>
    </x:row>
    <x:row r="507" ht="15" hidden="0" customHeight="1">
      <x:c r="A507" s="34" t="str">
        <x:v>STU0046</x:v>
      </x:c>
      <x:c r="B507" s="35" t="str">
        <x:v>CSE3CAP - Assignment: Sprint Project management reports</x:v>
      </x:c>
      <x:c r="C507" s="35" t="n">
        <x:v>77</x:v>
      </x:c>
      <x:c r="D507" s="36" t="str">
        <x:v>This strong result shows well-developed understanding of the relevant learning themes, particularly advanced project management during substantive development implementation and industry standard technical solutions in software or cybersecurity practice. Further improvement would come from deeper justification, more consistent evaluation evidence and tighter links between decisions and implementation details.</x:v>
      </x:c>
      <x:c r="E507" s="36" t="str">
        <x:v>SILO1: advanced project management during substantive development implementation; SILO2: industry standard technical solutions in software or cybersecurity practice</x:v>
      </x:c>
      <x:c r="F507" s="35" t="n">
        <x:v>0.35</x:v>
      </x:c>
      <x:c r="G507" s="37" t="n">
        <x:f>C507*F507</x:f>
        <x:v>26.95</x:v>
      </x:c>
    </x:row>
    <x:row r="508" ht="15" hidden="0" customHeight="1">
      <x:c r="A508" s="34" t="str">
        <x:v>STU0047</x:v>
      </x:c>
      <x:c r="B508" s="35" t="str">
        <x:v>CSE1OOF - Test</x:v>
      </x:c>
      <x:c r="C508" s="35" t="n">
        <x:v>70</x:v>
      </x:c>
      <x:c r="D508"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508" s="36" t="str">
        <x:v>SILO1: analysis/design/implementation compared with object-oriented modelling using objects that combine data structure and behaviour; SILO2: abstract data types and encapsulation to localise and minimise change</x:v>
      </x:c>
      <x:c r="F508" s="35" t="n">
        <x:v>0.15</x:v>
      </x:c>
      <x:c r="G508" s="37" t="n">
        <x:f>C508*F508</x:f>
        <x:v>10.5</x:v>
      </x:c>
    </x:row>
    <x:row r="509" ht="15" hidden="0" customHeight="1">
      <x:c r="A509" s="34" t="str">
        <x:v>STU0047</x:v>
      </x:c>
      <x:c r="B509" s="35" t="str">
        <x:v>CSE1OOF - Practical demonstration</x:v>
      </x:c>
      <x:c r="C509" s="35" t="n">
        <x:v>70</x:v>
      </x:c>
      <x:c r="D509"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509" s="36" t="str">
        <x:v>SILO2: abstract data types and encapsulation to localise and minimise change; SILO3: code sharing and reuse through object-oriented techniques to reduce development time; SILO4: object-oriented design and implementation of computer programs for real-life problems</x:v>
      </x:c>
      <x:c r="F509" s="35" t="n">
        <x:v>0.2</x:v>
      </x:c>
      <x:c r="G509" s="37" t="n">
        <x:f>C509*F509</x:f>
        <x:v>14</x:v>
      </x:c>
    </x:row>
    <x:row r="510" ht="15" hidden="0" customHeight="1">
      <x:c r="A510" s="34" t="str">
        <x:v>STU0047</x:v>
      </x:c>
      <x:c r="B510" s="35" t="str">
        <x:v>CSE1OOF - Assignment</x:v>
      </x:c>
      <x:c r="C510" s="35" t="n">
        <x:v>69</x:v>
      </x:c>
      <x:c r="D510"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510" s="36" t="str">
        <x:v>SILO2: abstract data types and encapsulation to localise and minimise change; SILO3: code sharing and reuse through object-oriented techniques to reduce development time; SILO4: object-oriented design and implementation of computer programs for real-life problems</x:v>
      </x:c>
      <x:c r="F510" s="35" t="n">
        <x:v>0.25</x:v>
      </x:c>
      <x:c r="G510" s="37" t="n">
        <x:f>C510*F510</x:f>
        <x:v>17.25</x:v>
      </x:c>
    </x:row>
    <x:row r="511" ht="15" hidden="0" customHeight="1">
      <x:c r="A511" s="34" t="str">
        <x:v>STU0047</x:v>
      </x:c>
      <x:c r="B511" s="35" t="str">
        <x:v>CSE1OOF - Central examination</x:v>
      </x:c>
      <x:c r="C511" s="35" t="n">
        <x:v>72</x:v>
      </x:c>
      <x:c r="D511"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511"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511" s="35" t="n">
        <x:v>0.4</x:v>
      </x:c>
      <x:c r="G511" s="37" t="n">
        <x:f>C511*F511</x:f>
        <x:v>28.8</x:v>
      </x:c>
    </x:row>
    <x:row r="512" ht="15" hidden="0" customHeight="1">
      <x:c r="A512" s="34" t="str">
        <x:v>STU0047</x:v>
      </x:c>
      <x:c r="B512" s="35" t="str">
        <x:v>CSE2ALG - Test</x:v>
      </x:c>
      <x:c r="C512" s="35" t="n">
        <x:v>75</x:v>
      </x:c>
      <x:c r="D512" s="36" t="str">
        <x:v>This strong result shows well-developed understanding of the relevant learning themes, particularly overall objectives of Algorithms and Data Structures, identifying data structures and searching and sorting algorithms in computing contexts, and implementing data structures and searching and sorting algorithms in Java. Further improvement would come from deeper justification, more consistent evaluation evidence and tighter links between decisions and implementation details.</x:v>
      </x:c>
      <x:c r="E512" s="36" t="str">
        <x:v>SILO1: overall objectives of Algorithms and Data Structures; SILO2: identifying data structures and searching and sorting algorithms in computing contexts; SILO3: implementing data structures and searching and sorting algorithms in Java</x:v>
      </x:c>
      <x:c r="F512" s="35" t="n">
        <x:v>0.2</x:v>
      </x:c>
      <x:c r="G512" s="37" t="n">
        <x:f>C512*F512</x:f>
        <x:v>15</x:v>
      </x:c>
    </x:row>
    <x:row r="513" ht="15" hidden="0" customHeight="1">
      <x:c r="A513" s="34" t="str">
        <x:v>STU0047</x:v>
      </x:c>
      <x:c r="B513" s="35" t="str">
        <x:v>CSE2ALG - Assignment</x:v>
      </x:c>
      <x:c r="C513" s="35" t="n">
        <x:v>77</x:v>
      </x:c>
      <x:c r="D513" s="36" t="str">
        <x:v>This strong result shows well-developed understanding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Further improvement would come from deeper justification, more consistent evaluation evidence and tighter links between decisions and implementation details.</x:v>
      </x:c>
      <x:c r="E513"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513" s="35" t="n">
        <x:v>0.3</x:v>
      </x:c>
      <x:c r="G513" s="37" t="n">
        <x:f>C513*F513</x:f>
        <x:v>23.099999999999998</x:v>
      </x:c>
    </x:row>
    <x:row r="514" ht="15" hidden="0" customHeight="1">
      <x:c r="A514" s="34" t="str">
        <x:v>STU0047</x:v>
      </x:c>
      <x:c r="B514" s="35" t="str">
        <x:v>CSE2ALG - Central examination</x:v>
      </x:c>
      <x:c r="C514" s="35" t="n">
        <x:v>71</x:v>
      </x:c>
      <x:c r="D514"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514"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514" s="35" t="n">
        <x:v>0.5</x:v>
      </x:c>
      <x:c r="G514" s="37" t="n">
        <x:f>C514*F514</x:f>
        <x:v>35.5</x:v>
      </x:c>
    </x:row>
    <x:row r="515" ht="15" hidden="0" customHeight="1">
      <x:c r="A515" s="34" t="str">
        <x:v>STU0047</x:v>
      </x:c>
      <x:c r="B515" s="35" t="str">
        <x:v>CSE3CAP - Oral presentation: Project Milestone Presentation</x:v>
      </x:c>
      <x:c r="C515" s="35" t="n">
        <x:v>69</x:v>
      </x:c>
      <x:c r="D515"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515" s="36" t="str">
        <x:v>SILO3: reporting project outcomes to technical and non-technical audiences and reflecting on feedback</x:v>
      </x:c>
      <x:c r="F515" s="35" t="n">
        <x:v>0.1</x:v>
      </x:c>
      <x:c r="G515" s="37" t="n">
        <x:f>C515*F515</x:f>
        <x:v>6.9</x:v>
      </x:c>
    </x:row>
    <x:row r="516" ht="15" hidden="0" customHeight="1">
      <x:c r="A516" s="34" t="str">
        <x:v>STU0047</x:v>
      </x:c>
      <x:c r="B516" s="35" t="str">
        <x:v>CSE3CAP - Oral presentation: Final Project Presentation</x:v>
      </x:c>
      <x:c r="C516" s="35" t="n">
        <x:v>72</x:v>
      </x:c>
      <x:c r="D516"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516" s="36" t="str">
        <x:v>SILO3: reporting project outcomes to technical and non-technical audiences and reflecting on feedback</x:v>
      </x:c>
      <x:c r="F516" s="35" t="n">
        <x:v>0.2</x:v>
      </x:c>
      <x:c r="G516" s="37" t="n">
        <x:f>C516*F516</x:f>
        <x:v>14.4</x:v>
      </x:c>
    </x:row>
    <x:row r="517" ht="15" hidden="0" customHeight="1">
      <x:c r="A517" s="34" t="str">
        <x:v>STU0047</x:v>
      </x:c>
      <x:c r="B517" s="35" t="str">
        <x:v>CSE3CAP - Assignment: Final written Project Report</x:v>
      </x:c>
      <x:c r="C517" s="35" t="n">
        <x:v>71</x:v>
      </x:c>
      <x:c r="D517" s="36" t="str">
        <x:v>This sound result shows a competent and generally reliable grasp of the relevant learning themes, particularly industry standard technical solutions in software or cybersecurity practice and professional system documentation and advanced technical reporting to industry standards. To strengthen the result, the student should provide clearer reasoning, improve technical precision and show more complete testing or reflection.</x:v>
      </x:c>
      <x:c r="E517" s="36" t="str">
        <x:v>SILO2: industry standard technical solutions in software or cybersecurity practice; SILO4: professional system documentation and advanced technical reporting to industry standards</x:v>
      </x:c>
      <x:c r="F517" s="35" t="n">
        <x:v>0.35</x:v>
      </x:c>
      <x:c r="G517" s="37" t="n">
        <x:f>C517*F517</x:f>
        <x:v>24.849999999999998</x:v>
      </x:c>
    </x:row>
    <x:row r="518" ht="15" hidden="0" customHeight="1">
      <x:c r="A518" s="34" t="str">
        <x:v>STU0047</x:v>
      </x:c>
      <x:c r="B518" s="35" t="str">
        <x:v>CSE3CAP - Assignment: Sprint Project management reports</x:v>
      </x:c>
      <x:c r="C518" s="35" t="n">
        <x:v>73</x:v>
      </x:c>
      <x:c r="D518" s="36" t="str">
        <x:v>This sound result shows a competent and generally reliable grasp of the relevant learning themes, particularly advanced project management during substantive development implementation and industry standard technical solutions in software or cybersecurity practice. To strengthen the result, the student should provide clearer reasoning, improve technical precision and show more complete testing or reflection.</x:v>
      </x:c>
      <x:c r="E518" s="36" t="str">
        <x:v>SILO1: advanced project management during substantive development implementation; SILO2: industry standard technical solutions in software or cybersecurity practice</x:v>
      </x:c>
      <x:c r="F518" s="35" t="n">
        <x:v>0.35</x:v>
      </x:c>
      <x:c r="G518" s="37" t="n">
        <x:f>C518*F518</x:f>
        <x:v>25.549999999999997</x:v>
      </x:c>
    </x:row>
    <x:row r="519" ht="15" hidden="0" customHeight="1">
      <x:c r="A519" s="34" t="str">
        <x:v>STU0048</x:v>
      </x:c>
      <x:c r="B519" s="35" t="str">
        <x:v>CSE1OOF - Test</x:v>
      </x:c>
      <x:c r="C519" s="35" t="n">
        <x:v>74</x:v>
      </x:c>
      <x:c r="D519"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519" s="36" t="str">
        <x:v>SILO1: analysis/design/implementation compared with object-oriented modelling using objects that combine data structure and behaviour; SILO2: abstract data types and encapsulation to localise and minimise change</x:v>
      </x:c>
      <x:c r="F519" s="35" t="n">
        <x:v>0.15</x:v>
      </x:c>
      <x:c r="G519" s="37" t="n">
        <x:f>C519*F519</x:f>
        <x:v>11.1</x:v>
      </x:c>
    </x:row>
    <x:row r="520" ht="15" hidden="0" customHeight="1">
      <x:c r="A520" s="34" t="str">
        <x:v>STU0048</x:v>
      </x:c>
      <x:c r="B520" s="35" t="str">
        <x:v>CSE1OOF - Practical demonstration</x:v>
      </x:c>
      <x:c r="C520" s="35" t="n">
        <x:v>77</x:v>
      </x:c>
      <x:c r="D520"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520" s="36" t="str">
        <x:v>SILO2: abstract data types and encapsulation to localise and minimise change; SILO3: code sharing and reuse through object-oriented techniques to reduce development time; SILO4: object-oriented design and implementation of computer programs for real-life problems</x:v>
      </x:c>
      <x:c r="F520" s="35" t="n">
        <x:v>0.2</x:v>
      </x:c>
      <x:c r="G520" s="37" t="n">
        <x:f>C520*F520</x:f>
        <x:v>15.4</x:v>
      </x:c>
    </x:row>
    <x:row r="521" ht="15" hidden="0" customHeight="1">
      <x:c r="A521" s="34" t="str">
        <x:v>STU0048</x:v>
      </x:c>
      <x:c r="B521" s="35" t="str">
        <x:v>CSE1OOF - Assignment</x:v>
      </x:c>
      <x:c r="C521" s="35" t="n">
        <x:v>79</x:v>
      </x:c>
      <x:c r="D521"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521" s="36" t="str">
        <x:v>SILO2: abstract data types and encapsulation to localise and minimise change; SILO3: code sharing and reuse through object-oriented techniques to reduce development time; SILO4: object-oriented design and implementation of computer programs for real-life problems</x:v>
      </x:c>
      <x:c r="F521" s="35" t="n">
        <x:v>0.25</x:v>
      </x:c>
      <x:c r="G521" s="37" t="n">
        <x:f>C521*F521</x:f>
        <x:v>19.75</x:v>
      </x:c>
    </x:row>
    <x:row r="522" ht="15" hidden="0" customHeight="1">
      <x:c r="A522" s="34" t="str">
        <x:v>STU0048</x:v>
      </x:c>
      <x:c r="B522" s="35" t="str">
        <x:v>CSE1OOF - Central examination</x:v>
      </x:c>
      <x:c r="C522" s="35" t="n">
        <x:v>78</x:v>
      </x:c>
      <x:c r="D522" s="36" t="str">
        <x:v>This strong result shows well-developed understanding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Further improvement would come from deeper justification, more consistent evaluation evidence and tighter links between decisions and implementation details.</x:v>
      </x:c>
      <x:c r="E522"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522" s="35" t="n">
        <x:v>0.4</x:v>
      </x:c>
      <x:c r="G522" s="37" t="n">
        <x:f>C522*F522</x:f>
        <x:v>31.200000000000003</x:v>
      </x:c>
    </x:row>
    <x:row r="523" ht="15" hidden="0" customHeight="1">
      <x:c r="A523" s="34" t="str">
        <x:v>STU0048</x:v>
      </x:c>
      <x:c r="B523" s="35" t="str">
        <x:v>CSE2ALG - Test</x:v>
      </x:c>
      <x:c r="C523" s="35" t="n">
        <x:v>77</x:v>
      </x:c>
      <x:c r="D523" s="36" t="str">
        <x:v>This strong result shows well-developed understanding of the relevant learning themes, particularly overall objectives of Algorithms and Data Structures, identifying data structures and searching and sorting algorithms in computing contexts, and implementing data structures and searching and sorting algorithms in Java. Further improvement would come from deeper justification, more consistent evaluation evidence and tighter links between decisions and implementation details.</x:v>
      </x:c>
      <x:c r="E523" s="36" t="str">
        <x:v>SILO1: overall objectives of Algorithms and Data Structures; SILO2: identifying data structures and searching and sorting algorithms in computing contexts; SILO3: implementing data structures and searching and sorting algorithms in Java</x:v>
      </x:c>
      <x:c r="F523" s="35" t="n">
        <x:v>0.2</x:v>
      </x:c>
      <x:c r="G523" s="37" t="n">
        <x:f>C523*F523</x:f>
        <x:v>15.4</x:v>
      </x:c>
    </x:row>
    <x:row r="524" ht="15" hidden="0" customHeight="1">
      <x:c r="A524" s="34" t="str">
        <x:v>STU0048</x:v>
      </x:c>
      <x:c r="B524" s="35" t="str">
        <x:v>CSE2ALG - Assignment</x:v>
      </x:c>
      <x:c r="C524" s="35" t="n">
        <x:v>71</x:v>
      </x:c>
      <x:c r="D524" s="36" t="str">
        <x:v>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x:v>
      </x:c>
      <x:c r="E524"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524" s="35" t="n">
        <x:v>0.3</x:v>
      </x:c>
      <x:c r="G524" s="37" t="n">
        <x:f>C524*F524</x:f>
        <x:v>21.3</x:v>
      </x:c>
    </x:row>
    <x:row r="525" ht="15" hidden="0" customHeight="1">
      <x:c r="A525" s="34" t="str">
        <x:v>STU0048</x:v>
      </x:c>
      <x:c r="B525" s="35" t="str">
        <x:v>CSE2ALG - Central examination</x:v>
      </x:c>
      <x:c r="C525" s="35" t="n">
        <x:v>73</x:v>
      </x:c>
      <x:c r="D525"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525"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525" s="35" t="n">
        <x:v>0.5</x:v>
      </x:c>
      <x:c r="G525" s="37" t="n">
        <x:f>C525*F525</x:f>
        <x:v>36.5</x:v>
      </x:c>
    </x:row>
    <x:row r="526" ht="15" hidden="0" customHeight="1">
      <x:c r="A526" s="34" t="str">
        <x:v>STU0048</x:v>
      </x:c>
      <x:c r="B526" s="35" t="str">
        <x:v>CSE3CAP - Oral presentation: Project Milestone Presentation</x:v>
      </x:c>
      <x:c r="C526" s="35" t="n">
        <x:v>76</x:v>
      </x:c>
      <x:c r="D526"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526" s="36" t="str">
        <x:v>SILO3: reporting project outcomes to technical and non-technical audiences and reflecting on feedback</x:v>
      </x:c>
      <x:c r="F526" s="35" t="n">
        <x:v>0.1</x:v>
      </x:c>
      <x:c r="G526" s="37" t="n">
        <x:f>C526*F526</x:f>
        <x:v>7.6000000000000005</x:v>
      </x:c>
    </x:row>
    <x:row r="527" ht="15" hidden="0" customHeight="1">
      <x:c r="A527" s="34" t="str">
        <x:v>STU0048</x:v>
      </x:c>
      <x:c r="B527" s="35" t="str">
        <x:v>CSE3CAP - Oral presentation: Final Project Presentation</x:v>
      </x:c>
      <x:c r="C527" s="35" t="n">
        <x:v>78</x:v>
      </x:c>
      <x:c r="D527"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527" s="36" t="str">
        <x:v>SILO3: reporting project outcomes to technical and non-technical audiences and reflecting on feedback</x:v>
      </x:c>
      <x:c r="F527" s="35" t="n">
        <x:v>0.2</x:v>
      </x:c>
      <x:c r="G527" s="37" t="n">
        <x:f>C527*F527</x:f>
        <x:v>15.600000000000001</x:v>
      </x:c>
    </x:row>
    <x:row r="528" ht="15" hidden="0" customHeight="1">
      <x:c r="A528" s="34" t="str">
        <x:v>STU0048</x:v>
      </x:c>
      <x:c r="B528" s="35" t="str">
        <x:v>CSE3CAP - Assignment: Final written Project Report</x:v>
      </x:c>
      <x:c r="C528" s="35" t="n">
        <x:v>75</x:v>
      </x:c>
      <x:c r="D528" s="36" t="str">
        <x:v>This strong result shows well-developed understanding of the relevant learning themes, particularly industry standard technical solutions in software or cybersecurity practice and professional system documentation and advanced technical reporting to industry standards. Further improvement would come from deeper justification, more consistent evaluation evidence and tighter links between decisions and implementation details.</x:v>
      </x:c>
      <x:c r="E528" s="36" t="str">
        <x:v>SILO2: industry standard technical solutions in software or cybersecurity practice; SILO4: professional system documentation and advanced technical reporting to industry standards</x:v>
      </x:c>
      <x:c r="F528" s="35" t="n">
        <x:v>0.35</x:v>
      </x:c>
      <x:c r="G528" s="37" t="n">
        <x:f>C528*F528</x:f>
        <x:v>26.25</x:v>
      </x:c>
    </x:row>
    <x:row r="529" ht="15" hidden="0" customHeight="1">
      <x:c r="A529" s="34" t="str">
        <x:v>STU0048</x:v>
      </x:c>
      <x:c r="B529" s="35" t="str">
        <x:v>CSE3CAP - Assignment: Sprint Project management reports</x:v>
      </x:c>
      <x:c r="C529" s="35" t="n">
        <x:v>79</x:v>
      </x:c>
      <x:c r="D529" s="36" t="str">
        <x:v>This strong result shows well-developed understanding of the relevant learning themes, particularly advanced project management during substantive development implementation and industry standard technical solutions in software or cybersecurity practice. Further improvement would come from deeper justification, more consistent evaluation evidence and tighter links between decisions and implementation details.</x:v>
      </x:c>
      <x:c r="E529" s="36" t="str">
        <x:v>SILO1: advanced project management during substantive development implementation; SILO2: industry standard technical solutions in software or cybersecurity practice</x:v>
      </x:c>
      <x:c r="F529" s="35" t="n">
        <x:v>0.35</x:v>
      </x:c>
      <x:c r="G529" s="37" t="n">
        <x:f>C529*F529</x:f>
        <x:v>27.65</x:v>
      </x:c>
    </x:row>
    <x:row r="530" ht="15" hidden="0" customHeight="1">
      <x:c r="A530" s="34" t="str">
        <x:v>STU0049</x:v>
      </x:c>
      <x:c r="B530" s="35" t="str">
        <x:v>CSE1OOF - Test</x:v>
      </x:c>
      <x:c r="C530" s="35" t="n">
        <x:v>54</x:v>
      </x:c>
      <x:c r="D530"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530" s="36" t="str">
        <x:v>SILO1: analysis/design/implementation compared with object-oriented modelling using objects that combine data structure and behaviour; SILO2: abstract data types and encapsulation to localise and minimise change</x:v>
      </x:c>
      <x:c r="F530" s="35" t="n">
        <x:v>0.15</x:v>
      </x:c>
      <x:c r="G530" s="37" t="n">
        <x:f>C530*F530</x:f>
        <x:v>8.1</x:v>
      </x:c>
    </x:row>
    <x:row r="531" ht="15" hidden="0" customHeight="1">
      <x:c r="A531" s="34" t="str">
        <x:v>STU0049</x:v>
      </x:c>
      <x:c r="B531" s="35" t="str">
        <x:v>CSE1OOF - Practical demonstration</x:v>
      </x:c>
      <x:c r="C531" s="35" t="n">
        <x:v>50</x:v>
      </x:c>
      <x:c r="D531"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531" s="36" t="str">
        <x:v>SILO2: abstract data types and encapsulation to localise and minimise change; SILO3: code sharing and reuse through object-oriented techniques to reduce development time; SILO4: object-oriented design and implementation of computer programs for real-life problems</x:v>
      </x:c>
      <x:c r="F531" s="35" t="n">
        <x:v>0.2</x:v>
      </x:c>
      <x:c r="G531" s="37" t="n">
        <x:f>C531*F531</x:f>
        <x:v>10</x:v>
      </x:c>
    </x:row>
    <x:row r="532" ht="15" hidden="0" customHeight="1">
      <x:c r="A532" s="34" t="str">
        <x:v>STU0049</x:v>
      </x:c>
      <x:c r="B532" s="35" t="str">
        <x:v>CSE1OOF - Assignment</x:v>
      </x:c>
      <x:c r="C532" s="35" t="n">
        <x:v>56</x:v>
      </x:c>
      <x:c r="D532"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532" s="36" t="str">
        <x:v>SILO2: abstract data types and encapsulation to localise and minimise change; SILO3: code sharing and reuse through object-oriented techniques to reduce development time; SILO4: object-oriented design and implementation of computer programs for real-life problems</x:v>
      </x:c>
      <x:c r="F532" s="35" t="n">
        <x:v>0.25</x:v>
      </x:c>
      <x:c r="G532" s="37" t="n">
        <x:f>C532*F532</x:f>
        <x:v>14</x:v>
      </x:c>
    </x:row>
    <x:row r="533" ht="15" hidden="0" customHeight="1">
      <x:c r="A533" s="34" t="str">
        <x:v>STU0049</x:v>
      </x:c>
      <x:c r="B533" s="35" t="str">
        <x:v>CSE1OOF - Central examination</x:v>
      </x:c>
      <x:c r="C533" s="35" t="n">
        <x:v>50</x:v>
      </x:c>
      <x:c r="D533" s="36" t="str">
        <x:v>This developing result meets the core requirements but needs greater consistency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Future work should focus on consolidating the underlying concepts, applying them more consistently and explaining design or implementation decisions with stronger evidence.</x:v>
      </x:c>
      <x:c r="E533"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533" s="35" t="n">
        <x:v>0.4</x:v>
      </x:c>
      <x:c r="G533" s="37" t="n">
        <x:f>C533*F533</x:f>
        <x:v>20</x:v>
      </x:c>
    </x:row>
    <x:row r="534" ht="15" hidden="0" customHeight="1">
      <x:c r="A534" s="34" t="str">
        <x:v>STU0049</x:v>
      </x:c>
      <x:c r="B534" s="35" t="str">
        <x:v>CSE2ALG - Test</x:v>
      </x:c>
      <x:c r="C534" s="35" t="n">
        <x:v>49</x:v>
      </x:c>
      <x:c r="D534" s="36" t="str">
        <x:v>This limited result shows gaps that require targeted revision of the relevant learning themes, particularly overall objectives of Algorithms and Data Structures, identifying data structures and searching and sorting algorithms in computing contexts, and implementing data structures and searching and sorting algorithms in Java. The student should revisit the core concepts, seek feedback early and practise applying the techniques in smaller, well-tested examples before attempting the full assessment task.</x:v>
      </x:c>
      <x:c r="E534" s="36" t="str">
        <x:v>SILO1: overall objectives of Algorithms and Data Structures; SILO2: identifying data structures and searching and sorting algorithms in computing contexts; SILO3: implementing data structures and searching and sorting algorithms in Java</x:v>
      </x:c>
      <x:c r="F534" s="35" t="n">
        <x:v>0.2</x:v>
      </x:c>
      <x:c r="G534" s="37" t="n">
        <x:f>C534*F534</x:f>
        <x:v>9.8</x:v>
      </x:c>
    </x:row>
    <x:row r="535" ht="15" hidden="0" customHeight="1">
      <x:c r="A535" s="34" t="str">
        <x:v>STU0049</x:v>
      </x:c>
      <x:c r="B535" s="35" t="str">
        <x:v>CSE2ALG - Assignment</x:v>
      </x:c>
      <x:c r="C535" s="35" t="n">
        <x:v>51</x:v>
      </x:c>
      <x:c r="D535"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535"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535" s="35" t="n">
        <x:v>0.3</x:v>
      </x:c>
      <x:c r="G535" s="37" t="n">
        <x:f>C535*F535</x:f>
        <x:v>15.299999999999999</x:v>
      </x:c>
    </x:row>
    <x:row r="536" ht="15" hidden="0" customHeight="1">
      <x:c r="A536" s="34" t="str">
        <x:v>STU0049</x:v>
      </x:c>
      <x:c r="B536" s="35" t="str">
        <x:v>CSE2ALG - Central examination</x:v>
      </x:c>
      <x:c r="C536" s="35" t="n">
        <x:v>51</x:v>
      </x:c>
      <x:c r="D536" s="36" t="str">
        <x:v>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x:v>
      </x:c>
      <x:c r="E536"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536" s="35" t="n">
        <x:v>0.5</x:v>
      </x:c>
      <x:c r="G536" s="37" t="n">
        <x:f>C536*F536</x:f>
        <x:v>25.5</x:v>
      </x:c>
    </x:row>
    <x:row r="537" ht="15" hidden="0" customHeight="1">
      <x:c r="A537" s="34" t="str">
        <x:v>STU0049</x:v>
      </x:c>
      <x:c r="B537" s="35" t="str">
        <x:v>CSE3CAP - Oral presentation: Project Milestone Presentation</x:v>
      </x:c>
      <x:c r="C537" s="35" t="n">
        <x:v>51</x:v>
      </x:c>
      <x:c r="D537"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537" s="36" t="str">
        <x:v>SILO3: reporting project outcomes to technical and non-technical audiences and reflecting on feedback</x:v>
      </x:c>
      <x:c r="F537" s="35" t="n">
        <x:v>0.1</x:v>
      </x:c>
      <x:c r="G537" s="37" t="n">
        <x:f>C537*F537</x:f>
        <x:v>5.1000000000000005</x:v>
      </x:c>
    </x:row>
    <x:row r="538" ht="15" hidden="0" customHeight="1">
      <x:c r="A538" s="34" t="str">
        <x:v>STU0049</x:v>
      </x:c>
      <x:c r="B538" s="35" t="str">
        <x:v>CSE3CAP - Oral presentation: Final Project Presentation</x:v>
      </x:c>
      <x:c r="C538" s="35" t="n">
        <x:v>51</x:v>
      </x:c>
      <x:c r="D538"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538" s="36" t="str">
        <x:v>SILO3: reporting project outcomes to technical and non-technical audiences and reflecting on feedback</x:v>
      </x:c>
      <x:c r="F538" s="35" t="n">
        <x:v>0.2</x:v>
      </x:c>
      <x:c r="G538" s="37" t="n">
        <x:f>C538*F538</x:f>
        <x:v>10.200000000000001</x:v>
      </x:c>
    </x:row>
    <x:row r="539" ht="15" hidden="0" customHeight="1">
      <x:c r="A539" s="34" t="str">
        <x:v>STU0049</x:v>
      </x:c>
      <x:c r="B539" s="35" t="str">
        <x:v>CSE3CAP - Assignment: Final written Project Report</x:v>
      </x:c>
      <x:c r="C539" s="35" t="n">
        <x:v>49</x:v>
      </x:c>
      <x:c r="D539" s="36" t="str">
        <x:v>This limited result shows gaps that require targeted revision of the relevant learning themes, particularly industry standard technical solutions in software or cybersecurity practice and professional system documentation and advanced technical reporting to industry standards. The student should revisit the core concepts, seek feedback early and practise applying the techniques in smaller, well-tested examples before attempting the full assessment task.</x:v>
      </x:c>
      <x:c r="E539" s="36" t="str">
        <x:v>SILO2: industry standard technical solutions in software or cybersecurity practice; SILO4: professional system documentation and advanced technical reporting to industry standards</x:v>
      </x:c>
      <x:c r="F539" s="35" t="n">
        <x:v>0.35</x:v>
      </x:c>
      <x:c r="G539" s="37" t="n">
        <x:f>C539*F539</x:f>
        <x:v>17.15</x:v>
      </x:c>
    </x:row>
    <x:row r="540" ht="15" hidden="0" customHeight="1">
      <x:c r="A540" s="34" t="str">
        <x:v>STU0049</x:v>
      </x:c>
      <x:c r="B540" s="35" t="str">
        <x:v>CSE3CAP - Assignment: Sprint Project management reports</x:v>
      </x:c>
      <x:c r="C540" s="35" t="n">
        <x:v>52</x:v>
      </x:c>
      <x:c r="D540"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540" s="36" t="str">
        <x:v>SILO1: advanced project management during substantive development implementation; SILO2: industry standard technical solutions in software or cybersecurity practice</x:v>
      </x:c>
      <x:c r="F540" s="35" t="n">
        <x:v>0.35</x:v>
      </x:c>
      <x:c r="G540" s="37" t="n">
        <x:f>C540*F540</x:f>
        <x:v>18.2</x:v>
      </x:c>
    </x:row>
    <x:row r="541" ht="15" hidden="0" customHeight="1">
      <x:c r="A541" s="34" t="str">
        <x:v>STU0050</x:v>
      </x:c>
      <x:c r="B541" s="35" t="str">
        <x:v>CSE1OOF - Test</x:v>
      </x:c>
      <x:c r="C541" s="35" t="n">
        <x:v>58</x:v>
      </x:c>
      <x:c r="D541"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541" s="36" t="str">
        <x:v>SILO1: analysis/design/implementation compared with object-oriented modelling using objects that combine data structure and behaviour; SILO2: abstract data types and encapsulation to localise and minimise change</x:v>
      </x:c>
      <x:c r="F541" s="35" t="n">
        <x:v>0.15</x:v>
      </x:c>
      <x:c r="G541" s="37" t="n">
        <x:f>C541*F541</x:f>
        <x:v>8.7</x:v>
      </x:c>
    </x:row>
    <x:row r="542" ht="15" hidden="0" customHeight="1">
      <x:c r="A542" s="34" t="str">
        <x:v>STU0050</x:v>
      </x:c>
      <x:c r="B542" s="35" t="str">
        <x:v>CSE1OOF - Practical demonstration</x:v>
      </x:c>
      <x:c r="C542" s="35" t="n">
        <x:v>59</x:v>
      </x:c>
      <x:c r="D542"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542" s="36" t="str">
        <x:v>SILO2: abstract data types and encapsulation to localise and minimise change; SILO3: code sharing and reuse through object-oriented techniques to reduce development time; SILO4: object-oriented design and implementation of computer programs for real-life problems</x:v>
      </x:c>
      <x:c r="F542" s="35" t="n">
        <x:v>0.2</x:v>
      </x:c>
      <x:c r="G542" s="37" t="n">
        <x:f>C542*F542</x:f>
        <x:v>11.8</x:v>
      </x:c>
    </x:row>
    <x:row r="543" ht="15" hidden="0" customHeight="1">
      <x:c r="A543" s="34" t="str">
        <x:v>STU0050</x:v>
      </x:c>
      <x:c r="B543" s="35" t="str">
        <x:v>CSE1OOF - Assignment</x:v>
      </x:c>
      <x:c r="C543" s="35" t="n">
        <x:v>59</x:v>
      </x:c>
      <x:c r="D543"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543" s="36" t="str">
        <x:v>SILO2: abstract data types and encapsulation to localise and minimise change; SILO3: code sharing and reuse through object-oriented techniques to reduce development time; SILO4: object-oriented design and implementation of computer programs for real-life problems</x:v>
      </x:c>
      <x:c r="F543" s="35" t="n">
        <x:v>0.25</x:v>
      </x:c>
      <x:c r="G543" s="37" t="n">
        <x:f>C543*F543</x:f>
        <x:v>14.75</x:v>
      </x:c>
    </x:row>
    <x:row r="544" ht="15" hidden="0" customHeight="1">
      <x:c r="A544" s="34" t="str">
        <x:v>STU0050</x:v>
      </x:c>
      <x:c r="B544" s="35" t="str">
        <x:v>CSE1OOF - Central examination</x:v>
      </x:c>
      <x:c r="C544" s="35" t="n">
        <x:v>58</x:v>
      </x:c>
      <x:c r="D544" s="36" t="str">
        <x:v>This developing result meets the core requirements but needs greater consistency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Future work should focus on consolidating the underlying concepts, applying them more consistently and explaining design or implementation decisions with stronger evidence.</x:v>
      </x:c>
      <x:c r="E544"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544" s="35" t="n">
        <x:v>0.4</x:v>
      </x:c>
      <x:c r="G544" s="37" t="n">
        <x:f>C544*F544</x:f>
        <x:v>23.200000000000003</x:v>
      </x:c>
    </x:row>
    <x:row r="545" ht="15" hidden="0" customHeight="1">
      <x:c r="A545" s="34" t="str">
        <x:v>STU0050</x:v>
      </x:c>
      <x:c r="B545" s="35" t="str">
        <x:v>CSE2ALG - Test</x:v>
      </x:c>
      <x:c r="C545" s="35" t="n">
        <x:v>61</x:v>
      </x:c>
      <x:c r="D545"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545" s="36" t="str">
        <x:v>SILO1: overall objectives of Algorithms and Data Structures; SILO2: identifying data structures and searching and sorting algorithms in computing contexts; SILO3: implementing data structures and searching and sorting algorithms in Java</x:v>
      </x:c>
      <x:c r="F545" s="35" t="n">
        <x:v>0.2</x:v>
      </x:c>
      <x:c r="G545" s="37" t="n">
        <x:f>C545*F545</x:f>
        <x:v>12.200000000000001</x:v>
      </x:c>
    </x:row>
    <x:row r="546" ht="15" hidden="0" customHeight="1">
      <x:c r="A546" s="34" t="str">
        <x:v>STU0050</x:v>
      </x:c>
      <x:c r="B546" s="35" t="str">
        <x:v>CSE2ALG - Assignment</x:v>
      </x:c>
      <x:c r="C546" s="35" t="n">
        <x:v>59</x:v>
      </x:c>
      <x:c r="D546"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546"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546" s="35" t="n">
        <x:v>0.3</x:v>
      </x:c>
      <x:c r="G546" s="37" t="n">
        <x:f>C546*F546</x:f>
        <x:v>17.7</x:v>
      </x:c>
    </x:row>
    <x:row r="547" ht="15" hidden="0" customHeight="1">
      <x:c r="A547" s="34" t="str">
        <x:v>STU0050</x:v>
      </x:c>
      <x:c r="B547" s="35" t="str">
        <x:v>CSE2ALG - Central examination</x:v>
      </x:c>
      <x:c r="C547" s="35" t="n">
        <x:v>59</x:v>
      </x:c>
      <x:c r="D547" s="36" t="str">
        <x:v>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x:v>
      </x:c>
      <x:c r="E547"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547" s="35" t="n">
        <x:v>0.5</x:v>
      </x:c>
      <x:c r="G547" s="37" t="n">
        <x:f>C547*F547</x:f>
        <x:v>29.5</x:v>
      </x:c>
    </x:row>
    <x:row r="548" ht="15" hidden="0" customHeight="1">
      <x:c r="A548" s="34" t="str">
        <x:v>STU0050</x:v>
      </x:c>
      <x:c r="B548" s="35" t="str">
        <x:v>CSE3CAP - Oral presentation: Project Milestone Presentation</x:v>
      </x:c>
      <x:c r="C548" s="35" t="n">
        <x:v>62</x:v>
      </x:c>
      <x:c r="D548"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548" s="36" t="str">
        <x:v>SILO3: reporting project outcomes to technical and non-technical audiences and reflecting on feedback</x:v>
      </x:c>
      <x:c r="F548" s="35" t="n">
        <x:v>0.1</x:v>
      </x:c>
      <x:c r="G548" s="37" t="n">
        <x:f>C548*F548</x:f>
        <x:v>6.2</x:v>
      </x:c>
    </x:row>
    <x:row r="549" ht="15" hidden="0" customHeight="1">
      <x:c r="A549" s="34" t="str">
        <x:v>STU0050</x:v>
      </x:c>
      <x:c r="B549" s="35" t="str">
        <x:v>CSE3CAP - Oral presentation: Final Project Presentation</x:v>
      </x:c>
      <x:c r="C549" s="35" t="n">
        <x:v>61</x:v>
      </x:c>
      <x:c r="D549"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549" s="36" t="str">
        <x:v>SILO3: reporting project outcomes to technical and non-technical audiences and reflecting on feedback</x:v>
      </x:c>
      <x:c r="F549" s="35" t="n">
        <x:v>0.2</x:v>
      </x:c>
      <x:c r="G549" s="37" t="n">
        <x:f>C549*F549</x:f>
        <x:v>12.200000000000001</x:v>
      </x:c>
    </x:row>
    <x:row r="550" ht="15" hidden="0" customHeight="1">
      <x:c r="A550" s="34" t="str">
        <x:v>STU0050</x:v>
      </x:c>
      <x:c r="B550" s="35" t="str">
        <x:v>CSE3CAP - Assignment: Final written Project Report</x:v>
      </x:c>
      <x:c r="C550" s="35" t="n">
        <x:v>57</x:v>
      </x:c>
      <x:c r="D550"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550" s="36" t="str">
        <x:v>SILO2: industry standard technical solutions in software or cybersecurity practice; SILO4: professional system documentation and advanced technical reporting to industry standards</x:v>
      </x:c>
      <x:c r="F550" s="35" t="n">
        <x:v>0.35</x:v>
      </x:c>
      <x:c r="G550" s="37" t="n">
        <x:f>C550*F550</x:f>
        <x:v>19.95</x:v>
      </x:c>
    </x:row>
    <x:row r="551" ht="15" hidden="0" customHeight="1">
      <x:c r="A551" s="34" t="str">
        <x:v>STU0050</x:v>
      </x:c>
      <x:c r="B551" s="35" t="str">
        <x:v>CSE3CAP - Assignment: Sprint Project management reports</x:v>
      </x:c>
      <x:c r="C551" s="35" t="n">
        <x:v>58</x:v>
      </x:c>
      <x:c r="D551"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551" s="36" t="str">
        <x:v>SILO1: advanced project management during substantive development implementation; SILO2: industry standard technical solutions in software or cybersecurity practice</x:v>
      </x:c>
      <x:c r="F551" s="35" t="n">
        <x:v>0.35</x:v>
      </x:c>
      <x:c r="G551" s="37" t="n">
        <x:f>C551*F551</x:f>
        <x:v>20.299999999999997</x:v>
      </x:c>
    </x:row>
    <x:row r="552" ht="15" hidden="0" customHeight="1">
      <x:c r="A552" s="34" t="str">
        <x:v>STU0051</x:v>
      </x:c>
      <x:c r="B552" s="35" t="str">
        <x:v>CSE1OOF - Test</x:v>
      </x:c>
      <x:c r="C552" s="35" t="n">
        <x:v>79</x:v>
      </x:c>
      <x:c r="D552" s="36" t="str">
        <x:v>This strong result shows well-developed understanding of the relevant learning themes, particularly analysis/design/implementation compared with object-oriented modelling using objects that combine data structure and behaviour and abstract data types and encapsulation to localise and minimise change. Further improvement would come from deeper justification, more consistent evaluation evidence and tighter links between decisions and implementation details.</x:v>
      </x:c>
      <x:c r="E552" s="36" t="str">
        <x:v>SILO1: analysis/design/implementation compared with object-oriented modelling using objects that combine data structure and behaviour; SILO2: abstract data types and encapsulation to localise and minimise change</x:v>
      </x:c>
      <x:c r="F552" s="35" t="n">
        <x:v>0.15</x:v>
      </x:c>
      <x:c r="G552" s="37" t="n">
        <x:f>C552*F552</x:f>
        <x:v>11.85</x:v>
      </x:c>
    </x:row>
    <x:row r="553" ht="15" hidden="0" customHeight="1">
      <x:c r="A553" s="34" t="str">
        <x:v>STU0051</x:v>
      </x:c>
      <x:c r="B553" s="35" t="str">
        <x:v>CSE1OOF - Practical demonstration</x:v>
      </x:c>
      <x:c r="C553" s="35" t="n">
        <x:v>76</x:v>
      </x:c>
      <x:c r="D553"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553" s="36" t="str">
        <x:v>SILO2: abstract data types and encapsulation to localise and minimise change; SILO3: code sharing and reuse through object-oriented techniques to reduce development time; SILO4: object-oriented design and implementation of computer programs for real-life problems</x:v>
      </x:c>
      <x:c r="F553" s="35" t="n">
        <x:v>0.2</x:v>
      </x:c>
      <x:c r="G553" s="37" t="n">
        <x:f>C553*F553</x:f>
        <x:v>15.200000000000001</x:v>
      </x:c>
    </x:row>
    <x:row r="554" ht="15" hidden="0" customHeight="1">
      <x:c r="A554" s="34" t="str">
        <x:v>STU0051</x:v>
      </x:c>
      <x:c r="B554" s="35" t="str">
        <x:v>CSE1OOF - Assignment</x:v>
      </x:c>
      <x:c r="C554" s="35" t="n">
        <x:v>74</x:v>
      </x:c>
      <x:c r="D554"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554" s="36" t="str">
        <x:v>SILO2: abstract data types and encapsulation to localise and minimise change; SILO3: code sharing and reuse through object-oriented techniques to reduce development time; SILO4: object-oriented design and implementation of computer programs for real-life problems</x:v>
      </x:c>
      <x:c r="F554" s="35" t="n">
        <x:v>0.25</x:v>
      </x:c>
      <x:c r="G554" s="37" t="n">
        <x:f>C554*F554</x:f>
        <x:v>18.5</x:v>
      </x:c>
    </x:row>
    <x:row r="555" ht="15" hidden="0" customHeight="1">
      <x:c r="A555" s="34" t="str">
        <x:v>STU0051</x:v>
      </x:c>
      <x:c r="B555" s="35" t="str">
        <x:v>CSE1OOF - Central examination</x:v>
      </x:c>
      <x:c r="C555" s="35" t="n">
        <x:v>79</x:v>
      </x:c>
      <x:c r="D555" s="36" t="str">
        <x:v>This strong result shows well-developed understanding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Further improvement would come from deeper justification, more consistent evaluation evidence and tighter links between decisions and implementation details.</x:v>
      </x:c>
      <x:c r="E555"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555" s="35" t="n">
        <x:v>0.4</x:v>
      </x:c>
      <x:c r="G555" s="37" t="n">
        <x:f>C555*F555</x:f>
        <x:v>31.6</x:v>
      </x:c>
    </x:row>
    <x:row r="556" ht="15" hidden="0" customHeight="1">
      <x:c r="A556" s="34" t="str">
        <x:v>STU0051</x:v>
      </x:c>
      <x:c r="B556" s="35" t="str">
        <x:v>CSE2ALG - Test</x:v>
      </x:c>
      <x:c r="C556" s="35" t="n">
        <x:v>83</x:v>
      </x:c>
      <x:c r="D556" s="36" t="str">
        <x:v>This strong result shows well-developed understanding of the relevant learning themes, particularly overall objectives of Algorithms and Data Structures, identifying data structures and searching and sorting algorithms in computing contexts, and implementing data structures and searching and sorting algorithms in Java. Further improvement would come from deeper justification, more consistent evaluation evidence and tighter links between decisions and implementation details.</x:v>
      </x:c>
      <x:c r="E556" s="36" t="str">
        <x:v>SILO1: overall objectives of Algorithms and Data Structures; SILO2: identifying data structures and searching and sorting algorithms in computing contexts; SILO3: implementing data structures and searching and sorting algorithms in Java</x:v>
      </x:c>
      <x:c r="F556" s="35" t="n">
        <x:v>0.2</x:v>
      </x:c>
      <x:c r="G556" s="37" t="n">
        <x:f>C556*F556</x:f>
        <x:v>16.6</x:v>
      </x:c>
    </x:row>
    <x:row r="557" ht="15" hidden="0" customHeight="1">
      <x:c r="A557" s="34" t="str">
        <x:v>STU0051</x:v>
      </x:c>
      <x:c r="B557" s="35" t="str">
        <x:v>CSE2ALG - Assignment</x:v>
      </x:c>
      <x:c r="C557" s="35" t="n">
        <x:v>80</x:v>
      </x:c>
      <x:c r="D557" s="36" t="str">
        <x:v>This strong result shows well-developed understanding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Further improvement would come from deeper justification, more consistent evaluation evidence and tighter links between decisions and implementation details.</x:v>
      </x:c>
      <x:c r="E557"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557" s="35" t="n">
        <x:v>0.3</x:v>
      </x:c>
      <x:c r="G557" s="37" t="n">
        <x:f>C557*F557</x:f>
        <x:v>24</x:v>
      </x:c>
    </x:row>
    <x:row r="558" ht="15" hidden="0" customHeight="1">
      <x:c r="A558" s="34" t="str">
        <x:v>STU0051</x:v>
      </x:c>
      <x:c r="B558" s="35" t="str">
        <x:v>CSE2ALG - Central examination</x:v>
      </x:c>
      <x:c r="C558" s="35" t="n">
        <x:v>82</x:v>
      </x:c>
      <x:c r="D558" s="36" t="str">
        <x:v>This strong result shows well-developed understanding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Further improvement would come from deeper justification, more consistent evaluation evidence and tighter links between decisions and implementation details.</x:v>
      </x:c>
      <x:c r="E558"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558" s="35" t="n">
        <x:v>0.5</x:v>
      </x:c>
      <x:c r="G558" s="37" t="n">
        <x:f>C558*F558</x:f>
        <x:v>41</x:v>
      </x:c>
    </x:row>
    <x:row r="559" ht="15" hidden="0" customHeight="1">
      <x:c r="A559" s="34" t="str">
        <x:v>STU0051</x:v>
      </x:c>
      <x:c r="B559" s="35" t="str">
        <x:v>CSE3CAP - Oral presentation: Project Milestone Presentation</x:v>
      </x:c>
      <x:c r="C559" s="35" t="n">
        <x:v>78</x:v>
      </x:c>
      <x:c r="D559"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559" s="36" t="str">
        <x:v>SILO3: reporting project outcomes to technical and non-technical audiences and reflecting on feedback</x:v>
      </x:c>
      <x:c r="F559" s="35" t="n">
        <x:v>0.1</x:v>
      </x:c>
      <x:c r="G559" s="37" t="n">
        <x:f>C559*F559</x:f>
        <x:v>7.800000000000001</x:v>
      </x:c>
    </x:row>
    <x:row r="560" ht="15" hidden="0" customHeight="1">
      <x:c r="A560" s="34" t="str">
        <x:v>STU0051</x:v>
      </x:c>
      <x:c r="B560" s="35" t="str">
        <x:v>CSE3CAP - Oral presentation: Final Project Presentation</x:v>
      </x:c>
      <x:c r="C560" s="35" t="n">
        <x:v>81</x:v>
      </x:c>
      <x:c r="D560"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560" s="36" t="str">
        <x:v>SILO3: reporting project outcomes to technical and non-technical audiences and reflecting on feedback</x:v>
      </x:c>
      <x:c r="F560" s="35" t="n">
        <x:v>0.2</x:v>
      </x:c>
      <x:c r="G560" s="37" t="n">
        <x:f>C560*F560</x:f>
        <x:v>16.2</x:v>
      </x:c>
    </x:row>
    <x:row r="561" ht="15" hidden="0" customHeight="1">
      <x:c r="A561" s="34" t="str">
        <x:v>STU0051</x:v>
      </x:c>
      <x:c r="B561" s="35" t="str">
        <x:v>CSE3CAP - Assignment: Final written Project Report</x:v>
      </x:c>
      <x:c r="C561" s="35" t="n">
        <x:v>80</x:v>
      </x:c>
      <x:c r="D561" s="36" t="str">
        <x:v>This strong result shows well-developed understanding of the relevant learning themes, particularly industry standard technical solutions in software or cybersecurity practice and professional system documentation and advanced technical reporting to industry standards. Further improvement would come from deeper justification, more consistent evaluation evidence and tighter links between decisions and implementation details.</x:v>
      </x:c>
      <x:c r="E561" s="36" t="str">
        <x:v>SILO2: industry standard technical solutions in software or cybersecurity practice; SILO4: professional system documentation and advanced technical reporting to industry standards</x:v>
      </x:c>
      <x:c r="F561" s="35" t="n">
        <x:v>0.35</x:v>
      </x:c>
      <x:c r="G561" s="37" t="n">
        <x:f>C561*F561</x:f>
        <x:v>28</x:v>
      </x:c>
    </x:row>
    <x:row r="562" ht="15" hidden="0" customHeight="1">
      <x:c r="A562" s="34" t="str">
        <x:v>STU0051</x:v>
      </x:c>
      <x:c r="B562" s="35" t="str">
        <x:v>CSE3CAP - Assignment: Sprint Project management reports</x:v>
      </x:c>
      <x:c r="C562" s="35" t="n">
        <x:v>80</x:v>
      </x:c>
      <x:c r="D562" s="36" t="str">
        <x:v>This strong result shows well-developed understanding of the relevant learning themes, particularly advanced project management during substantive development implementation and industry standard technical solutions in software or cybersecurity practice. Further improvement would come from deeper justification, more consistent evaluation evidence and tighter links between decisions and implementation details.</x:v>
      </x:c>
      <x:c r="E562" s="36" t="str">
        <x:v>SILO1: advanced project management during substantive development implementation; SILO2: industry standard technical solutions in software or cybersecurity practice</x:v>
      </x:c>
      <x:c r="F562" s="35" t="n">
        <x:v>0.35</x:v>
      </x:c>
      <x:c r="G562" s="37" t="n">
        <x:f>C562*F562</x:f>
        <x:v>28</x:v>
      </x:c>
    </x:row>
    <x:row r="563" ht="15" hidden="0" customHeight="1">
      <x:c r="A563" s="34" t="str">
        <x:v>STU0052</x:v>
      </x:c>
      <x:c r="B563" s="35" t="str">
        <x:v>CSE1OOF - Test</x:v>
      </x:c>
      <x:c r="C563" s="35" t="n">
        <x:v>66</x:v>
      </x:c>
      <x:c r="D563"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563" s="36" t="str">
        <x:v>SILO1: analysis/design/implementation compared with object-oriented modelling using objects that combine data structure and behaviour; SILO2: abstract data types and encapsulation to localise and minimise change</x:v>
      </x:c>
      <x:c r="F563" s="35" t="n">
        <x:v>0.15</x:v>
      </x:c>
      <x:c r="G563" s="37" t="n">
        <x:f>C563*F563</x:f>
        <x:v>9.9</x:v>
      </x:c>
    </x:row>
    <x:row r="564" ht="15" hidden="0" customHeight="1">
      <x:c r="A564" s="34" t="str">
        <x:v>STU0052</x:v>
      </x:c>
      <x:c r="B564" s="35" t="str">
        <x:v>CSE1OOF - Practical demonstration</x:v>
      </x:c>
      <x:c r="C564" s="35" t="n">
        <x:v>68</x:v>
      </x:c>
      <x:c r="D564"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564" s="36" t="str">
        <x:v>SILO2: abstract data types and encapsulation to localise and minimise change; SILO3: code sharing and reuse through object-oriented techniques to reduce development time; SILO4: object-oriented design and implementation of computer programs for real-life problems</x:v>
      </x:c>
      <x:c r="F564" s="35" t="n">
        <x:v>0.2</x:v>
      </x:c>
      <x:c r="G564" s="37" t="n">
        <x:f>C564*F564</x:f>
        <x:v>13.600000000000001</x:v>
      </x:c>
    </x:row>
    <x:row r="565" ht="15" hidden="0" customHeight="1">
      <x:c r="A565" s="34" t="str">
        <x:v>STU0052</x:v>
      </x:c>
      <x:c r="B565" s="35" t="str">
        <x:v>CSE1OOF - Assignment</x:v>
      </x:c>
      <x:c r="C565" s="35" t="n">
        <x:v>69</x:v>
      </x:c>
      <x:c r="D565"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565" s="36" t="str">
        <x:v>SILO2: abstract data types and encapsulation to localise and minimise change; SILO3: code sharing and reuse through object-oriented techniques to reduce development time; SILO4: object-oriented design and implementation of computer programs for real-life problems</x:v>
      </x:c>
      <x:c r="F565" s="35" t="n">
        <x:v>0.25</x:v>
      </x:c>
      <x:c r="G565" s="37" t="n">
        <x:f>C565*F565</x:f>
        <x:v>17.25</x:v>
      </x:c>
    </x:row>
    <x:row r="566" ht="15" hidden="0" customHeight="1">
      <x:c r="A566" s="34" t="str">
        <x:v>STU0052</x:v>
      </x:c>
      <x:c r="B566" s="35" t="str">
        <x:v>CSE1OOF - Central examination</x:v>
      </x:c>
      <x:c r="C566" s="35" t="n">
        <x:v>69</x:v>
      </x:c>
      <x:c r="D566"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566"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566" s="35" t="n">
        <x:v>0.4</x:v>
      </x:c>
      <x:c r="G566" s="37" t="n">
        <x:f>C566*F566</x:f>
        <x:v>27.6</x:v>
      </x:c>
    </x:row>
    <x:row r="567" ht="15" hidden="0" customHeight="1">
      <x:c r="A567" s="34" t="str">
        <x:v>STU0052</x:v>
      </x:c>
      <x:c r="B567" s="35" t="str">
        <x:v>CSE2ALG - Test</x:v>
      </x:c>
      <x:c r="C567" s="35" t="n">
        <x:v>71</x:v>
      </x:c>
      <x:c r="D567"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567" s="36" t="str">
        <x:v>SILO1: overall objectives of Algorithms and Data Structures; SILO2: identifying data structures and searching and sorting algorithms in computing contexts; SILO3: implementing data structures and searching and sorting algorithms in Java</x:v>
      </x:c>
      <x:c r="F567" s="35" t="n">
        <x:v>0.2</x:v>
      </x:c>
      <x:c r="G567" s="37" t="n">
        <x:f>C567*F567</x:f>
        <x:v>14.200000000000001</x:v>
      </x:c>
    </x:row>
    <x:row r="568" ht="15" hidden="0" customHeight="1">
      <x:c r="A568" s="34" t="str">
        <x:v>STU0052</x:v>
      </x:c>
      <x:c r="B568" s="35" t="str">
        <x:v>CSE2ALG - Assignment</x:v>
      </x:c>
      <x:c r="C568" s="35" t="n">
        <x:v>70</x:v>
      </x:c>
      <x:c r="D568" s="36" t="str">
        <x:v>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x:v>
      </x:c>
      <x:c r="E568"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568" s="35" t="n">
        <x:v>0.3</x:v>
      </x:c>
      <x:c r="G568" s="37" t="n">
        <x:f>C568*F568</x:f>
        <x:v>21</x:v>
      </x:c>
    </x:row>
    <x:row r="569" ht="15" hidden="0" customHeight="1">
      <x:c r="A569" s="34" t="str">
        <x:v>STU0052</x:v>
      </x:c>
      <x:c r="B569" s="35" t="str">
        <x:v>CSE2ALG - Central examination</x:v>
      </x:c>
      <x:c r="C569" s="35" t="n">
        <x:v>69</x:v>
      </x:c>
      <x:c r="D569"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569"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569" s="35" t="n">
        <x:v>0.5</x:v>
      </x:c>
      <x:c r="G569" s="37" t="n">
        <x:f>C569*F569</x:f>
        <x:v>34.5</x:v>
      </x:c>
    </x:row>
    <x:row r="570" ht="15" hidden="0" customHeight="1">
      <x:c r="A570" s="34" t="str">
        <x:v>STU0052</x:v>
      </x:c>
      <x:c r="B570" s="35" t="str">
        <x:v>CSE3CAP - Oral presentation: Project Milestone Presentation</x:v>
      </x:c>
      <x:c r="C570" s="35" t="n">
        <x:v>70</x:v>
      </x:c>
      <x:c r="D570"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570" s="36" t="str">
        <x:v>SILO3: reporting project outcomes to technical and non-technical audiences and reflecting on feedback</x:v>
      </x:c>
      <x:c r="F570" s="35" t="n">
        <x:v>0.1</x:v>
      </x:c>
      <x:c r="G570" s="37" t="n">
        <x:f>C570*F570</x:f>
        <x:v>7</x:v>
      </x:c>
    </x:row>
    <x:row r="571" ht="15" hidden="0" customHeight="1">
      <x:c r="A571" s="34" t="str">
        <x:v>STU0052</x:v>
      </x:c>
      <x:c r="B571" s="35" t="str">
        <x:v>CSE3CAP - Oral presentation: Final Project Presentation</x:v>
      </x:c>
      <x:c r="C571" s="35" t="n">
        <x:v>71</x:v>
      </x:c>
      <x:c r="D571"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571" s="36" t="str">
        <x:v>SILO3: reporting project outcomes to technical and non-technical audiences and reflecting on feedback</x:v>
      </x:c>
      <x:c r="F571" s="35" t="n">
        <x:v>0.2</x:v>
      </x:c>
      <x:c r="G571" s="37" t="n">
        <x:f>C571*F571</x:f>
        <x:v>14.200000000000001</x:v>
      </x:c>
    </x:row>
    <x:row r="572" ht="15" hidden="0" customHeight="1">
      <x:c r="A572" s="34" t="str">
        <x:v>STU0052</x:v>
      </x:c>
      <x:c r="B572" s="35" t="str">
        <x:v>CSE3CAP - Assignment: Final written Project Report</x:v>
      </x:c>
      <x:c r="C572" s="35" t="n">
        <x:v>70</x:v>
      </x:c>
      <x:c r="D572" s="36" t="str">
        <x:v>This sound result shows a competent and generally reliable grasp of the relevant learning themes, particularly industry standard technical solutions in software or cybersecurity practice and professional system documentation and advanced technical reporting to industry standards. To strengthen the result, the student should provide clearer reasoning, improve technical precision and show more complete testing or reflection.</x:v>
      </x:c>
      <x:c r="E572" s="36" t="str">
        <x:v>SILO2: industry standard technical solutions in software or cybersecurity practice; SILO4: professional system documentation and advanced technical reporting to industry standards</x:v>
      </x:c>
      <x:c r="F572" s="35" t="n">
        <x:v>0.35</x:v>
      </x:c>
      <x:c r="G572" s="37" t="n">
        <x:f>C572*F572</x:f>
        <x:v>24.5</x:v>
      </x:c>
    </x:row>
    <x:row r="573" ht="15" hidden="0" customHeight="1">
      <x:c r="A573" s="34" t="str">
        <x:v>STU0052</x:v>
      </x:c>
      <x:c r="B573" s="35" t="str">
        <x:v>CSE3CAP - Assignment: Sprint Project management reports</x:v>
      </x:c>
      <x:c r="C573" s="35" t="n">
        <x:v>72</x:v>
      </x:c>
      <x:c r="D573" s="36" t="str">
        <x:v>This sound result shows a competent and generally reliable grasp of the relevant learning themes, particularly advanced project management during substantive development implementation and industry standard technical solutions in software or cybersecurity practice. To strengthen the result, the student should provide clearer reasoning, improve technical precision and show more complete testing or reflection.</x:v>
      </x:c>
      <x:c r="E573" s="36" t="str">
        <x:v>SILO1: advanced project management during substantive development implementation; SILO2: industry standard technical solutions in software or cybersecurity practice</x:v>
      </x:c>
      <x:c r="F573" s="35" t="n">
        <x:v>0.35</x:v>
      </x:c>
      <x:c r="G573" s="37" t="n">
        <x:f>C573*F573</x:f>
        <x:v>25.2</x:v>
      </x:c>
    </x:row>
    <x:row r="574" ht="15" hidden="0" customHeight="1">
      <x:c r="A574" s="34" t="str">
        <x:v>STU0053</x:v>
      </x:c>
      <x:c r="B574" s="35" t="str">
        <x:v>CSE1OOF - Test</x:v>
      </x:c>
      <x:c r="C574" s="35" t="n">
        <x:v>80</x:v>
      </x:c>
      <x:c r="D574" s="36" t="str">
        <x:v>This strong result shows well-developed understanding of the relevant learning themes, particularly analysis/design/implementation compared with object-oriented modelling using objects that combine data structure and behaviour and abstract data types and encapsulation to localise and minimise change. Further improvement would come from deeper justification, more consistent evaluation evidence and tighter links between decisions and implementation details.</x:v>
      </x:c>
      <x:c r="E574" s="36" t="str">
        <x:v>SILO1: analysis/design/implementation compared with object-oriented modelling using objects that combine data structure and behaviour; SILO2: abstract data types and encapsulation to localise and minimise change</x:v>
      </x:c>
      <x:c r="F574" s="35" t="n">
        <x:v>0.15</x:v>
      </x:c>
      <x:c r="G574" s="37" t="n">
        <x:f>C574*F574</x:f>
        <x:v>12</x:v>
      </x:c>
    </x:row>
    <x:row r="575" ht="15" hidden="0" customHeight="1">
      <x:c r="A575" s="34" t="str">
        <x:v>STU0053</x:v>
      </x:c>
      <x:c r="B575" s="35" t="str">
        <x:v>CSE1OOF - Practical demonstration</x:v>
      </x:c>
      <x:c r="C575" s="35" t="n">
        <x:v>78</x:v>
      </x:c>
      <x:c r="D575"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575" s="36" t="str">
        <x:v>SILO2: abstract data types and encapsulation to localise and minimise change; SILO3: code sharing and reuse through object-oriented techniques to reduce development time; SILO4: object-oriented design and implementation of computer programs for real-life problems</x:v>
      </x:c>
      <x:c r="F575" s="35" t="n">
        <x:v>0.2</x:v>
      </x:c>
      <x:c r="G575" s="37" t="n">
        <x:f>C575*F575</x:f>
        <x:v>15.600000000000001</x:v>
      </x:c>
    </x:row>
    <x:row r="576" ht="15" hidden="0" customHeight="1">
      <x:c r="A576" s="34" t="str">
        <x:v>STU0053</x:v>
      </x:c>
      <x:c r="B576" s="35" t="str">
        <x:v>CSE1OOF - Assignment</x:v>
      </x:c>
      <x:c r="C576" s="35" t="n">
        <x:v>81</x:v>
      </x:c>
      <x:c r="D576"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576" s="36" t="str">
        <x:v>SILO2: abstract data types and encapsulation to localise and minimise change; SILO3: code sharing and reuse through object-oriented techniques to reduce development time; SILO4: object-oriented design and implementation of computer programs for real-life problems</x:v>
      </x:c>
      <x:c r="F576" s="35" t="n">
        <x:v>0.25</x:v>
      </x:c>
      <x:c r="G576" s="37" t="n">
        <x:f>C576*F576</x:f>
        <x:v>20.25</x:v>
      </x:c>
    </x:row>
    <x:row r="577" ht="15" hidden="0" customHeight="1">
      <x:c r="A577" s="34" t="str">
        <x:v>STU0053</x:v>
      </x:c>
      <x:c r="B577" s="35" t="str">
        <x:v>CSE1OOF - Central examination</x:v>
      </x:c>
      <x:c r="C577" s="35" t="n">
        <x:v>83</x:v>
      </x:c>
      <x:c r="D577" s="36" t="str">
        <x:v>This strong result shows well-developed understanding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Further improvement would come from deeper justification, more consistent evaluation evidence and tighter links between decisions and implementation details.</x:v>
      </x:c>
      <x:c r="E577"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577" s="35" t="n">
        <x:v>0.4</x:v>
      </x:c>
      <x:c r="G577" s="37" t="n">
        <x:f>C577*F577</x:f>
        <x:v>33.2</x:v>
      </x:c>
    </x:row>
    <x:row r="578" ht="15" hidden="0" customHeight="1">
      <x:c r="A578" s="34" t="str">
        <x:v>STU0053</x:v>
      </x:c>
      <x:c r="B578" s="35" t="str">
        <x:v>CSE2ALG - Test</x:v>
      </x:c>
      <x:c r="C578" s="35" t="n">
        <x:v>78</x:v>
      </x:c>
      <x:c r="D578" s="36" t="str">
        <x:v>This strong result shows well-developed understanding of the relevant learning themes, particularly overall objectives of Algorithms and Data Structures, identifying data structures and searching and sorting algorithms in computing contexts, and implementing data structures and searching and sorting algorithms in Java. Further improvement would come from deeper justification, more consistent evaluation evidence and tighter links between decisions and implementation details.</x:v>
      </x:c>
      <x:c r="E578" s="36" t="str">
        <x:v>SILO1: overall objectives of Algorithms and Data Structures; SILO2: identifying data structures and searching and sorting algorithms in computing contexts; SILO3: implementing data structures and searching and sorting algorithms in Java</x:v>
      </x:c>
      <x:c r="F578" s="35" t="n">
        <x:v>0.2</x:v>
      </x:c>
      <x:c r="G578" s="37" t="n">
        <x:f>C578*F578</x:f>
        <x:v>15.600000000000001</x:v>
      </x:c>
    </x:row>
    <x:row r="579" ht="15" hidden="0" customHeight="1">
      <x:c r="A579" s="34" t="str">
        <x:v>STU0053</x:v>
      </x:c>
      <x:c r="B579" s="35" t="str">
        <x:v>CSE2ALG - Assignment</x:v>
      </x:c>
      <x:c r="C579" s="35" t="n">
        <x:v>81</x:v>
      </x:c>
      <x:c r="D579" s="36" t="str">
        <x:v>This strong result shows well-developed understanding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Further improvement would come from deeper justification, more consistent evaluation evidence and tighter links between decisions and implementation details.</x:v>
      </x:c>
      <x:c r="E579"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579" s="35" t="n">
        <x:v>0.3</x:v>
      </x:c>
      <x:c r="G579" s="37" t="n">
        <x:f>C579*F579</x:f>
        <x:v>24.3</x:v>
      </x:c>
    </x:row>
    <x:row r="580" ht="15" hidden="0" customHeight="1">
      <x:c r="A580" s="34" t="str">
        <x:v>STU0053</x:v>
      </x:c>
      <x:c r="B580" s="35" t="str">
        <x:v>CSE2ALG - Central examination</x:v>
      </x:c>
      <x:c r="C580" s="35" t="n">
        <x:v>78</x:v>
      </x:c>
      <x:c r="D580" s="36" t="str">
        <x:v>This strong result shows well-developed understanding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Further improvement would come from deeper justification, more consistent evaluation evidence and tighter links between decisions and implementation details.</x:v>
      </x:c>
      <x:c r="E580"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580" s="35" t="n">
        <x:v>0.5</x:v>
      </x:c>
      <x:c r="G580" s="37" t="n">
        <x:f>C580*F580</x:f>
        <x:v>39</x:v>
      </x:c>
    </x:row>
    <x:row r="581" ht="15" hidden="0" customHeight="1">
      <x:c r="A581" s="34" t="str">
        <x:v>STU0053</x:v>
      </x:c>
      <x:c r="B581" s="35" t="str">
        <x:v>CSE3CAP - Oral presentation: Project Milestone Presentation</x:v>
      </x:c>
      <x:c r="C581" s="35" t="n">
        <x:v>78</x:v>
      </x:c>
      <x:c r="D581"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581" s="36" t="str">
        <x:v>SILO3: reporting project outcomes to technical and non-technical audiences and reflecting on feedback</x:v>
      </x:c>
      <x:c r="F581" s="35" t="n">
        <x:v>0.1</x:v>
      </x:c>
      <x:c r="G581" s="37" t="n">
        <x:f>C581*F581</x:f>
        <x:v>7.800000000000001</x:v>
      </x:c>
    </x:row>
    <x:row r="582" ht="15" hidden="0" customHeight="1">
      <x:c r="A582" s="34" t="str">
        <x:v>STU0053</x:v>
      </x:c>
      <x:c r="B582" s="35" t="str">
        <x:v>CSE3CAP - Oral presentation: Final Project Presentation</x:v>
      </x:c>
      <x:c r="C582" s="35" t="n">
        <x:v>78</x:v>
      </x:c>
      <x:c r="D582"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582" s="36" t="str">
        <x:v>SILO3: reporting project outcomes to technical and non-technical audiences and reflecting on feedback</x:v>
      </x:c>
      <x:c r="F582" s="35" t="n">
        <x:v>0.2</x:v>
      </x:c>
      <x:c r="G582" s="37" t="n">
        <x:f>C582*F582</x:f>
        <x:v>15.600000000000001</x:v>
      </x:c>
    </x:row>
    <x:row r="583" ht="15" hidden="0" customHeight="1">
      <x:c r="A583" s="34" t="str">
        <x:v>STU0053</x:v>
      </x:c>
      <x:c r="B583" s="35" t="str">
        <x:v>CSE3CAP - Assignment: Final written Project Report</x:v>
      </x:c>
      <x:c r="C583" s="35" t="n">
        <x:v>77</x:v>
      </x:c>
      <x:c r="D583" s="36" t="str">
        <x:v>This strong result shows well-developed understanding of the relevant learning themes, particularly industry standard technical solutions in software or cybersecurity practice and professional system documentation and advanced technical reporting to industry standards. Further improvement would come from deeper justification, more consistent evaluation evidence and tighter links between decisions and implementation details.</x:v>
      </x:c>
      <x:c r="E583" s="36" t="str">
        <x:v>SILO2: industry standard technical solutions in software or cybersecurity practice; SILO4: professional system documentation and advanced technical reporting to industry standards</x:v>
      </x:c>
      <x:c r="F583" s="35" t="n">
        <x:v>0.35</x:v>
      </x:c>
      <x:c r="G583" s="37" t="n">
        <x:f>C583*F583</x:f>
        <x:v>26.95</x:v>
      </x:c>
    </x:row>
    <x:row r="584" ht="15" hidden="0" customHeight="1">
      <x:c r="A584" s="34" t="str">
        <x:v>STU0053</x:v>
      </x:c>
      <x:c r="B584" s="35" t="str">
        <x:v>CSE3CAP - Assignment: Sprint Project management reports</x:v>
      </x:c>
      <x:c r="C584" s="35" t="n">
        <x:v>78</x:v>
      </x:c>
      <x:c r="D584" s="36" t="str">
        <x:v>This strong result shows well-developed understanding of the relevant learning themes, particularly advanced project management during substantive development implementation and industry standard technical solutions in software or cybersecurity practice. Further improvement would come from deeper justification, more consistent evaluation evidence and tighter links between decisions and implementation details.</x:v>
      </x:c>
      <x:c r="E584" s="36" t="str">
        <x:v>SILO1: advanced project management during substantive development implementation; SILO2: industry standard technical solutions in software or cybersecurity practice</x:v>
      </x:c>
      <x:c r="F584" s="35" t="n">
        <x:v>0.35</x:v>
      </x:c>
      <x:c r="G584" s="37" t="n">
        <x:f>C584*F584</x:f>
        <x:v>27.299999999999997</x:v>
      </x:c>
    </x:row>
    <x:row r="585" ht="15" hidden="0" customHeight="1">
      <x:c r="A585" s="34" t="str">
        <x:v>STU0054</x:v>
      </x:c>
      <x:c r="B585" s="35" t="str">
        <x:v>CSE1OOF - Test</x:v>
      </x:c>
      <x:c r="C585" s="35" t="n">
        <x:v>50</x:v>
      </x:c>
      <x:c r="D585"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585" s="36" t="str">
        <x:v>SILO1: analysis/design/implementation compared with object-oriented modelling using objects that combine data structure and behaviour; SILO2: abstract data types and encapsulation to localise and minimise change</x:v>
      </x:c>
      <x:c r="F585" s="35" t="n">
        <x:v>0.15</x:v>
      </x:c>
      <x:c r="G585" s="37" t="n">
        <x:f>C585*F585</x:f>
        <x:v>7.5</x:v>
      </x:c>
    </x:row>
    <x:row r="586" ht="15" hidden="0" customHeight="1">
      <x:c r="A586" s="34" t="str">
        <x:v>STU0054</x:v>
      </x:c>
      <x:c r="B586" s="35" t="str">
        <x:v>CSE1OOF - Practical demonstration</x:v>
      </x:c>
      <x:c r="C586" s="35" t="n">
        <x:v>44</x:v>
      </x:c>
      <x:c r="D586" s="36" t="str">
        <x:v>This limited result shows gaps that require targeted revision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student should revisit the core concepts, seek feedback early and practise applying the techniques in smaller, well-tested examples before attempting the full assessment task.</x:v>
      </x:c>
      <x:c r="E586" s="36" t="str">
        <x:v>SILO2: abstract data types and encapsulation to localise and minimise change; SILO3: code sharing and reuse through object-oriented techniques to reduce development time; SILO4: object-oriented design and implementation of computer programs for real-life problems</x:v>
      </x:c>
      <x:c r="F586" s="35" t="n">
        <x:v>0.2</x:v>
      </x:c>
      <x:c r="G586" s="37" t="n">
        <x:f>C586*F586</x:f>
        <x:v>8.8</x:v>
      </x:c>
    </x:row>
    <x:row r="587" ht="15" hidden="0" customHeight="1">
      <x:c r="A587" s="34" t="str">
        <x:v>STU0054</x:v>
      </x:c>
      <x:c r="B587" s="35" t="str">
        <x:v>CSE1OOF - Assignment</x:v>
      </x:c>
      <x:c r="C587" s="35" t="n">
        <x:v>49</x:v>
      </x:c>
      <x:c r="D587" s="36" t="str">
        <x:v>This limited result shows gaps that require targeted revision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student should revisit the core concepts, seek feedback early and practise applying the techniques in smaller, well-tested examples before attempting the full assessment task.</x:v>
      </x:c>
      <x:c r="E587" s="36" t="str">
        <x:v>SILO2: abstract data types and encapsulation to localise and minimise change; SILO3: code sharing and reuse through object-oriented techniques to reduce development time; SILO4: object-oriented design and implementation of computer programs for real-life problems</x:v>
      </x:c>
      <x:c r="F587" s="35" t="n">
        <x:v>0.25</x:v>
      </x:c>
      <x:c r="G587" s="37" t="n">
        <x:f>C587*F587</x:f>
        <x:v>12.25</x:v>
      </x:c>
    </x:row>
    <x:row r="588" ht="15" hidden="0" customHeight="1">
      <x:c r="A588" s="34" t="str">
        <x:v>STU0054</x:v>
      </x:c>
      <x:c r="B588" s="35" t="str">
        <x:v>CSE1OOF - Central examination</x:v>
      </x:c>
      <x:c r="C588" s="35" t="n">
        <x:v>48</x:v>
      </x:c>
      <x:c r="D588" s="36" t="str">
        <x:v>This limited result shows gaps that require targeted revision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The student should revisit the core concepts, seek feedback early and practise applying the techniques in smaller, well-tested examples before attempting the full assessment task.</x:v>
      </x:c>
      <x:c r="E588"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588" s="35" t="n">
        <x:v>0.4</x:v>
      </x:c>
      <x:c r="G588" s="37" t="n">
        <x:f>C588*F588</x:f>
        <x:v>19.200000000000003</x:v>
      </x:c>
    </x:row>
    <x:row r="589" ht="15" hidden="0" customHeight="1">
      <x:c r="A589" s="34" t="str">
        <x:v>STU0054</x:v>
      </x:c>
      <x:c r="B589" s="35" t="str">
        <x:v>CSE2ALG - Test</x:v>
      </x:c>
      <x:c r="C589" s="35" t="n">
        <x:v>48</x:v>
      </x:c>
      <x:c r="D589" s="36" t="str">
        <x:v>This limited result shows gaps that require targeted revision of the relevant learning themes, particularly overall objectives of Algorithms and Data Structures, identifying data structures and searching and sorting algorithms in computing contexts, and implementing data structures and searching and sorting algorithms in Java. The student should revisit the core concepts, seek feedback early and practise applying the techniques in smaller, well-tested examples before attempting the full assessment task.</x:v>
      </x:c>
      <x:c r="E589" s="36" t="str">
        <x:v>SILO1: overall objectives of Algorithms and Data Structures; SILO2: identifying data structures and searching and sorting algorithms in computing contexts; SILO3: implementing data structures and searching and sorting algorithms in Java</x:v>
      </x:c>
      <x:c r="F589" s="35" t="n">
        <x:v>0.2</x:v>
      </x:c>
      <x:c r="G589" s="37" t="n">
        <x:f>C589*F589</x:f>
        <x:v>9.600000000000001</x:v>
      </x:c>
    </x:row>
    <x:row r="590" ht="15" hidden="0" customHeight="1">
      <x:c r="A590" s="34" t="str">
        <x:v>STU0054</x:v>
      </x:c>
      <x:c r="B590" s="35" t="str">
        <x:v>CSE2ALG - Assignment</x:v>
      </x:c>
      <x:c r="C590" s="35" t="n">
        <x:v>42</x:v>
      </x:c>
      <x:c r="D590" s="36" t="str">
        <x:v>This limited result shows gaps that require targeted revision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The student should revisit the core concepts, seek feedback early and practise applying the techniques in smaller, well-tested examples before attempting the full assessment task.</x:v>
      </x:c>
      <x:c r="E590"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590" s="35" t="n">
        <x:v>0.3</x:v>
      </x:c>
      <x:c r="G590" s="37" t="n">
        <x:f>C590*F590</x:f>
        <x:v>12.6</x:v>
      </x:c>
    </x:row>
    <x:row r="591" ht="15" hidden="0" customHeight="1">
      <x:c r="A591" s="34" t="str">
        <x:v>STU0054</x:v>
      </x:c>
      <x:c r="B591" s="35" t="str">
        <x:v>CSE2ALG - Central examination</x:v>
      </x:c>
      <x:c r="C591" s="35" t="n">
        <x:v>42</x:v>
      </x:c>
      <x:c r="D591" s="36" t="str">
        <x:v>This limited result shows gaps that require targeted revision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The student should revisit the core concepts, seek feedback early and practise applying the techniques in smaller, well-tested examples before attempting the full assessment task.</x:v>
      </x:c>
      <x:c r="E591"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591" s="35" t="n">
        <x:v>0.5</x:v>
      </x:c>
      <x:c r="G591" s="37" t="n">
        <x:f>C591*F591</x:f>
        <x:v>21</x:v>
      </x:c>
    </x:row>
    <x:row r="592" ht="15" hidden="0" customHeight="1">
      <x:c r="A592" s="34" t="str">
        <x:v>STU0054</x:v>
      </x:c>
      <x:c r="B592" s="35" t="str">
        <x:v>CSE3CAP - Oral presentation: Project Milestone Presentation</x:v>
      </x:c>
      <x:c r="C592" s="35" t="n">
        <x:v>46</x:v>
      </x:c>
      <x:c r="D592" s="36" t="str">
        <x:v>This limited result shows gaps that require targeted revision of the relevant learning themes, particularly reporting project outcomes to technical and non-technical audiences and reflecting on feedback. The student should revisit the core concepts, seek feedback early and practise applying the techniques in smaller, well-tested examples before attempting the full assessment task.</x:v>
      </x:c>
      <x:c r="E592" s="36" t="str">
        <x:v>SILO3: reporting project outcomes to technical and non-technical audiences and reflecting on feedback</x:v>
      </x:c>
      <x:c r="F592" s="35" t="n">
        <x:v>0.1</x:v>
      </x:c>
      <x:c r="G592" s="37" t="n">
        <x:f>C592*F592</x:f>
        <x:v>4.6000000000000005</x:v>
      </x:c>
    </x:row>
    <x:row r="593" ht="15" hidden="0" customHeight="1">
      <x:c r="A593" s="34" t="str">
        <x:v>STU0054</x:v>
      </x:c>
      <x:c r="B593" s="35" t="str">
        <x:v>CSE3CAP - Oral presentation: Final Project Presentation</x:v>
      </x:c>
      <x:c r="C593" s="35" t="n">
        <x:v>49</x:v>
      </x:c>
      <x:c r="D593" s="36" t="str">
        <x:v>This limited result shows gaps that require targeted revision of the relevant learning themes, particularly reporting project outcomes to technical and non-technical audiences and reflecting on feedback. The student should revisit the core concepts, seek feedback early and practise applying the techniques in smaller, well-tested examples before attempting the full assessment task.</x:v>
      </x:c>
      <x:c r="E593" s="36" t="str">
        <x:v>SILO3: reporting project outcomes to technical and non-technical audiences and reflecting on feedback</x:v>
      </x:c>
      <x:c r="F593" s="35" t="n">
        <x:v>0.2</x:v>
      </x:c>
      <x:c r="G593" s="37" t="n">
        <x:f>C593*F593</x:f>
        <x:v>9.8</x:v>
      </x:c>
    </x:row>
    <x:row r="594" ht="15" hidden="0" customHeight="1">
      <x:c r="A594" s="34" t="str">
        <x:v>STU0054</x:v>
      </x:c>
      <x:c r="B594" s="35" t="str">
        <x:v>CSE3CAP - Assignment: Final written Project Report</x:v>
      </x:c>
      <x:c r="C594" s="35" t="n">
        <x:v>43</x:v>
      </x:c>
      <x:c r="D594" s="36" t="str">
        <x:v>This limited result shows gaps that require targeted revision of the relevant learning themes, particularly industry standard technical solutions in software or cybersecurity practice and professional system documentation and advanced technical reporting to industry standards. The student should revisit the core concepts, seek feedback early and practise applying the techniques in smaller, well-tested examples before attempting the full assessment task.</x:v>
      </x:c>
      <x:c r="E594" s="36" t="str">
        <x:v>SILO2: industry standard technical solutions in software or cybersecurity practice; SILO4: professional system documentation and advanced technical reporting to industry standards</x:v>
      </x:c>
      <x:c r="F594" s="35" t="n">
        <x:v>0.35</x:v>
      </x:c>
      <x:c r="G594" s="37" t="n">
        <x:f>C594*F594</x:f>
        <x:v>15.049999999999999</x:v>
      </x:c>
    </x:row>
    <x:row r="595" ht="15" hidden="0" customHeight="1">
      <x:c r="A595" s="34" t="str">
        <x:v>STU0054</x:v>
      </x:c>
      <x:c r="B595" s="35" t="str">
        <x:v>CSE3CAP - Assignment: Sprint Project management reports</x:v>
      </x:c>
      <x:c r="C595" s="35" t="n">
        <x:v>44</x:v>
      </x:c>
      <x:c r="D595" s="36" t="str">
        <x:v>This limited result shows gaps that require targeted revision of the relevant learning themes, particularly advanced project management during substantive development implementation and industry standard technical solutions in software or cybersecurity practice. The student should revisit the core concepts, seek feedback early and practise applying the techniques in smaller, well-tested examples before attempting the full assessment task.</x:v>
      </x:c>
      <x:c r="E595" s="36" t="str">
        <x:v>SILO1: advanced project management during substantive development implementation; SILO2: industry standard technical solutions in software or cybersecurity practice</x:v>
      </x:c>
      <x:c r="F595" s="35" t="n">
        <x:v>0.35</x:v>
      </x:c>
      <x:c r="G595" s="37" t="n">
        <x:f>C595*F595</x:f>
        <x:v>15.399999999999999</x:v>
      </x:c>
    </x:row>
    <x:row r="596" ht="15" hidden="0" customHeight="1">
      <x:c r="A596" s="34" t="str">
        <x:v>STU0055</x:v>
      </x:c>
      <x:c r="B596" s="35" t="str">
        <x:v>CSE1OOF - Test</x:v>
      </x:c>
      <x:c r="C596" s="35" t="n">
        <x:v>73</x:v>
      </x:c>
      <x:c r="D596"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596" s="36" t="str">
        <x:v>SILO1: analysis/design/implementation compared with object-oriented modelling using objects that combine data structure and behaviour; SILO2: abstract data types and encapsulation to localise and minimise change</x:v>
      </x:c>
      <x:c r="F596" s="35" t="n">
        <x:v>0.15</x:v>
      </x:c>
      <x:c r="G596" s="37" t="n">
        <x:f>C596*F596</x:f>
        <x:v>10.95</x:v>
      </x:c>
    </x:row>
    <x:row r="597" ht="15" hidden="0" customHeight="1">
      <x:c r="A597" s="34" t="str">
        <x:v>STU0055</x:v>
      </x:c>
      <x:c r="B597" s="35" t="str">
        <x:v>CSE1OOF - Practical demonstration</x:v>
      </x:c>
      <x:c r="C597" s="35" t="n">
        <x:v>73</x:v>
      </x:c>
      <x:c r="D597"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597" s="36" t="str">
        <x:v>SILO2: abstract data types and encapsulation to localise and minimise change; SILO3: code sharing and reuse through object-oriented techniques to reduce development time; SILO4: object-oriented design and implementation of computer programs for real-life problems</x:v>
      </x:c>
      <x:c r="F597" s="35" t="n">
        <x:v>0.2</x:v>
      </x:c>
      <x:c r="G597" s="37" t="n">
        <x:f>C597*F597</x:f>
        <x:v>14.600000000000001</x:v>
      </x:c>
    </x:row>
    <x:row r="598" ht="15" hidden="0" customHeight="1">
      <x:c r="A598" s="34" t="str">
        <x:v>STU0055</x:v>
      </x:c>
      <x:c r="B598" s="35" t="str">
        <x:v>CSE1OOF - Assignment</x:v>
      </x:c>
      <x:c r="C598" s="35" t="n">
        <x:v>74</x:v>
      </x:c>
      <x:c r="D598"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598" s="36" t="str">
        <x:v>SILO2: abstract data types and encapsulation to localise and minimise change; SILO3: code sharing and reuse through object-oriented techniques to reduce development time; SILO4: object-oriented design and implementation of computer programs for real-life problems</x:v>
      </x:c>
      <x:c r="F598" s="35" t="n">
        <x:v>0.25</x:v>
      </x:c>
      <x:c r="G598" s="37" t="n">
        <x:f>C598*F598</x:f>
        <x:v>18.5</x:v>
      </x:c>
    </x:row>
    <x:row r="599" ht="15" hidden="0" customHeight="1">
      <x:c r="A599" s="34" t="str">
        <x:v>STU0055</x:v>
      </x:c>
      <x:c r="B599" s="35" t="str">
        <x:v>CSE1OOF - Central examination</x:v>
      </x:c>
      <x:c r="C599" s="35" t="n">
        <x:v>72</x:v>
      </x:c>
      <x:c r="D599"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599"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599" s="35" t="n">
        <x:v>0.4</x:v>
      </x:c>
      <x:c r="G599" s="37" t="n">
        <x:f>C599*F599</x:f>
        <x:v>28.8</x:v>
      </x:c>
    </x:row>
    <x:row r="600" ht="15" hidden="0" customHeight="1">
      <x:c r="A600" s="34" t="str">
        <x:v>STU0055</x:v>
      </x:c>
      <x:c r="B600" s="35" t="str">
        <x:v>CSE2ALG - Test</x:v>
      </x:c>
      <x:c r="C600" s="35" t="n">
        <x:v>77</x:v>
      </x:c>
      <x:c r="D600" s="36" t="str">
        <x:v>This strong result shows well-developed understanding of the relevant learning themes, particularly overall objectives of Algorithms and Data Structures, identifying data structures and searching and sorting algorithms in computing contexts, and implementing data structures and searching and sorting algorithms in Java. Further improvement would come from deeper justification, more consistent evaluation evidence and tighter links between decisions and implementation details.</x:v>
      </x:c>
      <x:c r="E600" s="36" t="str">
        <x:v>SILO1: overall objectives of Algorithms and Data Structures; SILO2: identifying data structures and searching and sorting algorithms in computing contexts; SILO3: implementing data structures and searching and sorting algorithms in Java</x:v>
      </x:c>
      <x:c r="F600" s="35" t="n">
        <x:v>0.2</x:v>
      </x:c>
      <x:c r="G600" s="37" t="n">
        <x:f>C600*F600</x:f>
        <x:v>15.4</x:v>
      </x:c>
    </x:row>
    <x:row r="601" ht="15" hidden="0" customHeight="1">
      <x:c r="A601" s="34" t="str">
        <x:v>STU0055</x:v>
      </x:c>
      <x:c r="B601" s="35" t="str">
        <x:v>CSE2ALG - Assignment</x:v>
      </x:c>
      <x:c r="C601" s="35" t="n">
        <x:v>73</x:v>
      </x:c>
      <x:c r="D601" s="36" t="str">
        <x:v>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x:v>
      </x:c>
      <x:c r="E601"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601" s="35" t="n">
        <x:v>0.3</x:v>
      </x:c>
      <x:c r="G601" s="37" t="n">
        <x:f>C601*F601</x:f>
        <x:v>21.9</x:v>
      </x:c>
    </x:row>
    <x:row r="602" ht="15" hidden="0" customHeight="1">
      <x:c r="A602" s="34" t="str">
        <x:v>STU0055</x:v>
      </x:c>
      <x:c r="B602" s="35" t="str">
        <x:v>CSE2ALG - Central examination</x:v>
      </x:c>
      <x:c r="C602" s="35" t="n">
        <x:v>71</x:v>
      </x:c>
      <x:c r="D602"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602"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602" s="35" t="n">
        <x:v>0.5</x:v>
      </x:c>
      <x:c r="G602" s="37" t="n">
        <x:f>C602*F602</x:f>
        <x:v>35.5</x:v>
      </x:c>
    </x:row>
    <x:row r="603" ht="15" hidden="0" customHeight="1">
      <x:c r="A603" s="34" t="str">
        <x:v>STU0055</x:v>
      </x:c>
      <x:c r="B603" s="35" t="str">
        <x:v>CSE3CAP - Oral presentation: Project Milestone Presentation</x:v>
      </x:c>
      <x:c r="C603" s="35" t="n">
        <x:v>73</x:v>
      </x:c>
      <x:c r="D603"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603" s="36" t="str">
        <x:v>SILO3: reporting project outcomes to technical and non-technical audiences and reflecting on feedback</x:v>
      </x:c>
      <x:c r="F603" s="35" t="n">
        <x:v>0.1</x:v>
      </x:c>
      <x:c r="G603" s="37" t="n">
        <x:f>C603*F603</x:f>
        <x:v>7.300000000000001</x:v>
      </x:c>
    </x:row>
    <x:row r="604" ht="15" hidden="0" customHeight="1">
      <x:c r="A604" s="34" t="str">
        <x:v>STU0055</x:v>
      </x:c>
      <x:c r="B604" s="35" t="str">
        <x:v>CSE3CAP - Oral presentation: Final Project Presentation</x:v>
      </x:c>
      <x:c r="C604" s="35" t="n">
        <x:v>72</x:v>
      </x:c>
      <x:c r="D604"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604" s="36" t="str">
        <x:v>SILO3: reporting project outcomes to technical and non-technical audiences and reflecting on feedback</x:v>
      </x:c>
      <x:c r="F604" s="35" t="n">
        <x:v>0.2</x:v>
      </x:c>
      <x:c r="G604" s="37" t="n">
        <x:f>C604*F604</x:f>
        <x:v>14.4</x:v>
      </x:c>
    </x:row>
    <x:row r="605" ht="15" hidden="0" customHeight="1">
      <x:c r="A605" s="34" t="str">
        <x:v>STU0055</x:v>
      </x:c>
      <x:c r="B605" s="35" t="str">
        <x:v>CSE3CAP - Assignment: Final written Project Report</x:v>
      </x:c>
      <x:c r="C605" s="35" t="n">
        <x:v>78</x:v>
      </x:c>
      <x:c r="D605" s="36" t="str">
        <x:v>This strong result shows well-developed understanding of the relevant learning themes, particularly industry standard technical solutions in software or cybersecurity practice and professional system documentation and advanced technical reporting to industry standards. Further improvement would come from deeper justification, more consistent evaluation evidence and tighter links between decisions and implementation details.</x:v>
      </x:c>
      <x:c r="E605" s="36" t="str">
        <x:v>SILO2: industry standard technical solutions in software or cybersecurity practice; SILO4: professional system documentation and advanced technical reporting to industry standards</x:v>
      </x:c>
      <x:c r="F605" s="35" t="n">
        <x:v>0.35</x:v>
      </x:c>
      <x:c r="G605" s="37" t="n">
        <x:f>C605*F605</x:f>
        <x:v>27.299999999999997</x:v>
      </x:c>
    </x:row>
    <x:row r="606" ht="15" hidden="0" customHeight="1">
      <x:c r="A606" s="34" t="str">
        <x:v>STU0055</x:v>
      </x:c>
      <x:c r="B606" s="35" t="str">
        <x:v>CSE3CAP - Assignment: Sprint Project management reports</x:v>
      </x:c>
      <x:c r="C606" s="35" t="n">
        <x:v>74</x:v>
      </x:c>
      <x:c r="D606" s="36" t="str">
        <x:v>This sound result shows a competent and generally reliable grasp of the relevant learning themes, particularly advanced project management during substantive development implementation and industry standard technical solutions in software or cybersecurity practice. To strengthen the result, the student should provide clearer reasoning, improve technical precision and show more complete testing or reflection.</x:v>
      </x:c>
      <x:c r="E606" s="36" t="str">
        <x:v>SILO1: advanced project management during substantive development implementation; SILO2: industry standard technical solutions in software or cybersecurity practice</x:v>
      </x:c>
      <x:c r="F606" s="35" t="n">
        <x:v>0.35</x:v>
      </x:c>
      <x:c r="G606" s="37" t="n">
        <x:f>C606*F606</x:f>
        <x:v>25.9</x:v>
      </x:c>
    </x:row>
    <x:row r="607" ht="15" hidden="0" customHeight="1">
      <x:c r="A607" s="34" t="str">
        <x:v>STU0056</x:v>
      </x:c>
      <x:c r="B607" s="35" t="str">
        <x:v>CSE1OOF - Test</x:v>
      </x:c>
      <x:c r="C607" s="35" t="n">
        <x:v>76</x:v>
      </x:c>
      <x:c r="D607" s="36" t="str">
        <x:v>This strong result shows well-developed understanding of the relevant learning themes, particularly analysis/design/implementation compared with object-oriented modelling using objects that combine data structure and behaviour and abstract data types and encapsulation to localise and minimise change. Further improvement would come from deeper justification, more consistent evaluation evidence and tighter links between decisions and implementation details.</x:v>
      </x:c>
      <x:c r="E607" s="36" t="str">
        <x:v>SILO1: analysis/design/implementation compared with object-oriented modelling using objects that combine data structure and behaviour; SILO2: abstract data types and encapsulation to localise and minimise change</x:v>
      </x:c>
      <x:c r="F607" s="35" t="n">
        <x:v>0.15</x:v>
      </x:c>
      <x:c r="G607" s="37" t="n">
        <x:f>C607*F607</x:f>
        <x:v>11.4</x:v>
      </x:c>
    </x:row>
    <x:row r="608" ht="15" hidden="0" customHeight="1">
      <x:c r="A608" s="34" t="str">
        <x:v>STU0056</x:v>
      </x:c>
      <x:c r="B608" s="35" t="str">
        <x:v>CSE1OOF - Practical demonstration</x:v>
      </x:c>
      <x:c r="C608" s="35" t="n">
        <x:v>82</x:v>
      </x:c>
      <x:c r="D608"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608" s="36" t="str">
        <x:v>SILO2: abstract data types and encapsulation to localise and minimise change; SILO3: code sharing and reuse through object-oriented techniques to reduce development time; SILO4: object-oriented design and implementation of computer programs for real-life problems</x:v>
      </x:c>
      <x:c r="F608" s="35" t="n">
        <x:v>0.2</x:v>
      </x:c>
      <x:c r="G608" s="37" t="n">
        <x:f>C608*F608</x:f>
        <x:v>16.400000000000002</x:v>
      </x:c>
    </x:row>
    <x:row r="609" ht="15" hidden="0" customHeight="1">
      <x:c r="A609" s="34" t="str">
        <x:v>STU0056</x:v>
      </x:c>
      <x:c r="B609" s="35" t="str">
        <x:v>CSE1OOF - Assignment</x:v>
      </x:c>
      <x:c r="C609" s="35" t="n">
        <x:v>77</x:v>
      </x:c>
      <x:c r="D609"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609" s="36" t="str">
        <x:v>SILO2: abstract data types and encapsulation to localise and minimise change; SILO3: code sharing and reuse through object-oriented techniques to reduce development time; SILO4: object-oriented design and implementation of computer programs for real-life problems</x:v>
      </x:c>
      <x:c r="F609" s="35" t="n">
        <x:v>0.25</x:v>
      </x:c>
      <x:c r="G609" s="37" t="n">
        <x:f>C609*F609</x:f>
        <x:v>19.25</x:v>
      </x:c>
    </x:row>
    <x:row r="610" ht="15" hidden="0" customHeight="1">
      <x:c r="A610" s="34" t="str">
        <x:v>STU0056</x:v>
      </x:c>
      <x:c r="B610" s="35" t="str">
        <x:v>CSE1OOF - Central examination</x:v>
      </x:c>
      <x:c r="C610" s="35" t="n">
        <x:v>78</x:v>
      </x:c>
      <x:c r="D610" s="36" t="str">
        <x:v>This strong result shows well-developed understanding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Further improvement would come from deeper justification, more consistent evaluation evidence and tighter links between decisions and implementation details.</x:v>
      </x:c>
      <x:c r="E610"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610" s="35" t="n">
        <x:v>0.4</x:v>
      </x:c>
      <x:c r="G610" s="37" t="n">
        <x:f>C610*F610</x:f>
        <x:v>31.200000000000003</x:v>
      </x:c>
    </x:row>
    <x:row r="611" ht="15" hidden="0" customHeight="1">
      <x:c r="A611" s="34" t="str">
        <x:v>STU0056</x:v>
      </x:c>
      <x:c r="B611" s="35" t="str">
        <x:v>CSE2ALG - Test</x:v>
      </x:c>
      <x:c r="C611" s="35" t="n">
        <x:v>84</x:v>
      </x:c>
      <x:c r="D611" s="36" t="str">
        <x:v>This strong result shows well-developed understanding of the relevant learning themes, particularly overall objectives of Algorithms and Data Structures, identifying data structures and searching and sorting algorithms in computing contexts, and implementing data structures and searching and sorting algorithms in Java. Further improvement would come from deeper justification, more consistent evaluation evidence and tighter links between decisions and implementation details.</x:v>
      </x:c>
      <x:c r="E611" s="36" t="str">
        <x:v>SILO1: overall objectives of Algorithms and Data Structures; SILO2: identifying data structures and searching and sorting algorithms in computing contexts; SILO3: implementing data structures and searching and sorting algorithms in Java</x:v>
      </x:c>
      <x:c r="F611" s="35" t="n">
        <x:v>0.2</x:v>
      </x:c>
      <x:c r="G611" s="37" t="n">
        <x:f>C611*F611</x:f>
        <x:v>16.8</x:v>
      </x:c>
    </x:row>
    <x:row r="612" ht="15" hidden="0" customHeight="1">
      <x:c r="A612" s="34" t="str">
        <x:v>STU0056</x:v>
      </x:c>
      <x:c r="B612" s="35" t="str">
        <x:v>CSE2ALG - Assignment</x:v>
      </x:c>
      <x:c r="C612" s="35" t="n">
        <x:v>83</x:v>
      </x:c>
      <x:c r="D612" s="36" t="str">
        <x:v>This strong result shows well-developed understanding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Further improvement would come from deeper justification, more consistent evaluation evidence and tighter links between decisions and implementation details.</x:v>
      </x:c>
      <x:c r="E612"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612" s="35" t="n">
        <x:v>0.3</x:v>
      </x:c>
      <x:c r="G612" s="37" t="n">
        <x:f>C612*F612</x:f>
        <x:v>24.9</x:v>
      </x:c>
    </x:row>
    <x:row r="613" ht="15" hidden="0" customHeight="1">
      <x:c r="A613" s="34" t="str">
        <x:v>STU0056</x:v>
      </x:c>
      <x:c r="B613" s="35" t="str">
        <x:v>CSE2ALG - Central examination</x:v>
      </x:c>
      <x:c r="C613" s="35" t="n">
        <x:v>81</x:v>
      </x:c>
      <x:c r="D613" s="36" t="str">
        <x:v>This strong result shows well-developed understanding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Further improvement would come from deeper justification, more consistent evaluation evidence and tighter links between decisions and implementation details.</x:v>
      </x:c>
      <x:c r="E613"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613" s="35" t="n">
        <x:v>0.5</x:v>
      </x:c>
      <x:c r="G613" s="37" t="n">
        <x:f>C613*F613</x:f>
        <x:v>40.5</x:v>
      </x:c>
    </x:row>
    <x:row r="614" ht="15" hidden="0" customHeight="1">
      <x:c r="A614" s="34" t="str">
        <x:v>STU0056</x:v>
      </x:c>
      <x:c r="B614" s="35" t="str">
        <x:v>CSE3CAP - Oral presentation: Project Milestone Presentation</x:v>
      </x:c>
      <x:c r="C614" s="35" t="n">
        <x:v>80</x:v>
      </x:c>
      <x:c r="D614"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614" s="36" t="str">
        <x:v>SILO3: reporting project outcomes to technical and non-technical audiences and reflecting on feedback</x:v>
      </x:c>
      <x:c r="F614" s="35" t="n">
        <x:v>0.1</x:v>
      </x:c>
      <x:c r="G614" s="37" t="n">
        <x:f>C614*F614</x:f>
        <x:v>8</x:v>
      </x:c>
    </x:row>
    <x:row r="615" ht="15" hidden="0" customHeight="1">
      <x:c r="A615" s="34" t="str">
        <x:v>STU0056</x:v>
      </x:c>
      <x:c r="B615" s="35" t="str">
        <x:v>CSE3CAP - Oral presentation: Final Project Presentation</x:v>
      </x:c>
      <x:c r="C615" s="35" t="n">
        <x:v>83</x:v>
      </x:c>
      <x:c r="D615"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615" s="36" t="str">
        <x:v>SILO3: reporting project outcomes to technical and non-technical audiences and reflecting on feedback</x:v>
      </x:c>
      <x:c r="F615" s="35" t="n">
        <x:v>0.2</x:v>
      </x:c>
      <x:c r="G615" s="37" t="n">
        <x:f>C615*F615</x:f>
        <x:v>16.6</x:v>
      </x:c>
    </x:row>
    <x:row r="616" ht="15" hidden="0" customHeight="1">
      <x:c r="A616" s="34" t="str">
        <x:v>STU0056</x:v>
      </x:c>
      <x:c r="B616" s="35" t="str">
        <x:v>CSE3CAP - Assignment: Final written Project Report</x:v>
      </x:c>
      <x:c r="C616" s="35" t="n">
        <x:v>81</x:v>
      </x:c>
      <x:c r="D616" s="36" t="str">
        <x:v>This strong result shows well-developed understanding of the relevant learning themes, particularly industry standard technical solutions in software or cybersecurity practice and professional system documentation and advanced technical reporting to industry standards. Further improvement would come from deeper justification, more consistent evaluation evidence and tighter links between decisions and implementation details.</x:v>
      </x:c>
      <x:c r="E616" s="36" t="str">
        <x:v>SILO2: industry standard technical solutions in software or cybersecurity practice; SILO4: professional system documentation and advanced technical reporting to industry standards</x:v>
      </x:c>
      <x:c r="F616" s="35" t="n">
        <x:v>0.35</x:v>
      </x:c>
      <x:c r="G616" s="37" t="n">
        <x:f>C616*F616</x:f>
        <x:v>28.349999999999998</x:v>
      </x:c>
    </x:row>
    <x:row r="617" ht="15" hidden="0" customHeight="1">
      <x:c r="A617" s="34" t="str">
        <x:v>STU0056</x:v>
      </x:c>
      <x:c r="B617" s="35" t="str">
        <x:v>CSE3CAP - Assignment: Sprint Project management reports</x:v>
      </x:c>
      <x:c r="C617" s="35" t="n">
        <x:v>82</x:v>
      </x:c>
      <x:c r="D617" s="36" t="str">
        <x:v>This strong result shows well-developed understanding of the relevant learning themes, particularly advanced project management during substantive development implementation and industry standard technical solutions in software or cybersecurity practice. Further improvement would come from deeper justification, more consistent evaluation evidence and tighter links between decisions and implementation details.</x:v>
      </x:c>
      <x:c r="E617" s="36" t="str">
        <x:v>SILO1: advanced project management during substantive development implementation; SILO2: industry standard technical solutions in software or cybersecurity practice</x:v>
      </x:c>
      <x:c r="F617" s="35" t="n">
        <x:v>0.35</x:v>
      </x:c>
      <x:c r="G617" s="37" t="n">
        <x:f>C617*F617</x:f>
        <x:v>28.7</x:v>
      </x:c>
    </x:row>
    <x:row r="618" ht="15" hidden="0" customHeight="1">
      <x:c r="A618" s="34" t="str">
        <x:v>STU0057</x:v>
      </x:c>
      <x:c r="B618" s="35" t="str">
        <x:v>CSE1OOF - Test</x:v>
      </x:c>
      <x:c r="C618" s="35" t="n">
        <x:v>75</x:v>
      </x:c>
      <x:c r="D618" s="36" t="str">
        <x:v>This strong result shows well-developed understanding of the relevant learning themes, particularly analysis/design/implementation compared with object-oriented modelling using objects that combine data structure and behaviour and abstract data types and encapsulation to localise and minimise change. Further improvement would come from deeper justification, more consistent evaluation evidence and tighter links between decisions and implementation details.</x:v>
      </x:c>
      <x:c r="E618" s="36" t="str">
        <x:v>SILO1: analysis/design/implementation compared with object-oriented modelling using objects that combine data structure and behaviour; SILO2: abstract data types and encapsulation to localise and minimise change</x:v>
      </x:c>
      <x:c r="F618" s="35" t="n">
        <x:v>0.15</x:v>
      </x:c>
      <x:c r="G618" s="37" t="n">
        <x:f>C618*F618</x:f>
        <x:v>11.25</x:v>
      </x:c>
    </x:row>
    <x:row r="619" ht="15" hidden="0" customHeight="1">
      <x:c r="A619" s="34" t="str">
        <x:v>STU0057</x:v>
      </x:c>
      <x:c r="B619" s="35" t="str">
        <x:v>CSE1OOF - Practical demonstration</x:v>
      </x:c>
      <x:c r="C619" s="35" t="n">
        <x:v>78</x:v>
      </x:c>
      <x:c r="D619"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619" s="36" t="str">
        <x:v>SILO2: abstract data types and encapsulation to localise and minimise change; SILO3: code sharing and reuse through object-oriented techniques to reduce development time; SILO4: object-oriented design and implementation of computer programs for real-life problems</x:v>
      </x:c>
      <x:c r="F619" s="35" t="n">
        <x:v>0.2</x:v>
      </x:c>
      <x:c r="G619" s="37" t="n">
        <x:f>C619*F619</x:f>
        <x:v>15.600000000000001</x:v>
      </x:c>
    </x:row>
    <x:row r="620" ht="15" hidden="0" customHeight="1">
      <x:c r="A620" s="34" t="str">
        <x:v>STU0057</x:v>
      </x:c>
      <x:c r="B620" s="35" t="str">
        <x:v>CSE1OOF - Assignment</x:v>
      </x:c>
      <x:c r="C620" s="35" t="n">
        <x:v>75</x:v>
      </x:c>
      <x:c r="D620"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620" s="36" t="str">
        <x:v>SILO2: abstract data types and encapsulation to localise and minimise change; SILO3: code sharing and reuse through object-oriented techniques to reduce development time; SILO4: object-oriented design and implementation of computer programs for real-life problems</x:v>
      </x:c>
      <x:c r="F620" s="35" t="n">
        <x:v>0.25</x:v>
      </x:c>
      <x:c r="G620" s="37" t="n">
        <x:f>C620*F620</x:f>
        <x:v>18.75</x:v>
      </x:c>
    </x:row>
    <x:row r="621" ht="15" hidden="0" customHeight="1">
      <x:c r="A621" s="34" t="str">
        <x:v>STU0057</x:v>
      </x:c>
      <x:c r="B621" s="35" t="str">
        <x:v>CSE1OOF - Central examination</x:v>
      </x:c>
      <x:c r="C621" s="35" t="n">
        <x:v>73</x:v>
      </x:c>
      <x:c r="D621"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621"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621" s="35" t="n">
        <x:v>0.4</x:v>
      </x:c>
      <x:c r="G621" s="37" t="n">
        <x:f>C621*F621</x:f>
        <x:v>29.200000000000003</x:v>
      </x:c>
    </x:row>
    <x:row r="622" ht="15" hidden="0" customHeight="1">
      <x:c r="A622" s="34" t="str">
        <x:v>STU0057</x:v>
      </x:c>
      <x:c r="B622" s="35" t="str">
        <x:v>CSE2ALG - Test</x:v>
      </x:c>
      <x:c r="C622" s="35" t="n">
        <x:v>72</x:v>
      </x:c>
      <x:c r="D622"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622" s="36" t="str">
        <x:v>SILO1: overall objectives of Algorithms and Data Structures; SILO2: identifying data structures and searching and sorting algorithms in computing contexts; SILO3: implementing data structures and searching and sorting algorithms in Java</x:v>
      </x:c>
      <x:c r="F622" s="35" t="n">
        <x:v>0.2</x:v>
      </x:c>
      <x:c r="G622" s="37" t="n">
        <x:f>C622*F622</x:f>
        <x:v>14.4</x:v>
      </x:c>
    </x:row>
    <x:row r="623" ht="15" hidden="0" customHeight="1">
      <x:c r="A623" s="34" t="str">
        <x:v>STU0057</x:v>
      </x:c>
      <x:c r="B623" s="35" t="str">
        <x:v>CSE2ALG - Assignment</x:v>
      </x:c>
      <x:c r="C623" s="35" t="n">
        <x:v>71</x:v>
      </x:c>
      <x:c r="D623" s="36" t="str">
        <x:v>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x:v>
      </x:c>
      <x:c r="E623"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623" s="35" t="n">
        <x:v>0.3</x:v>
      </x:c>
      <x:c r="G623" s="37" t="n">
        <x:f>C623*F623</x:f>
        <x:v>21.3</x:v>
      </x:c>
    </x:row>
    <x:row r="624" ht="15" hidden="0" customHeight="1">
      <x:c r="A624" s="34" t="str">
        <x:v>STU0057</x:v>
      </x:c>
      <x:c r="B624" s="35" t="str">
        <x:v>CSE2ALG - Central examination</x:v>
      </x:c>
      <x:c r="C624" s="35" t="n">
        <x:v>76</x:v>
      </x:c>
      <x:c r="D624" s="36" t="str">
        <x:v>This strong result shows well-developed understanding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Further improvement would come from deeper justification, more consistent evaluation evidence and tighter links between decisions and implementation details.</x:v>
      </x:c>
      <x:c r="E624"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624" s="35" t="n">
        <x:v>0.5</x:v>
      </x:c>
      <x:c r="G624" s="37" t="n">
        <x:f>C624*F624</x:f>
        <x:v>38</x:v>
      </x:c>
    </x:row>
    <x:row r="625" ht="15" hidden="0" customHeight="1">
      <x:c r="A625" s="34" t="str">
        <x:v>STU0057</x:v>
      </x:c>
      <x:c r="B625" s="35" t="str">
        <x:v>CSE3CAP - Oral presentation: Project Milestone Presentation</x:v>
      </x:c>
      <x:c r="C625" s="35" t="n">
        <x:v>73</x:v>
      </x:c>
      <x:c r="D625"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625" s="36" t="str">
        <x:v>SILO3: reporting project outcomes to technical and non-technical audiences and reflecting on feedback</x:v>
      </x:c>
      <x:c r="F625" s="35" t="n">
        <x:v>0.1</x:v>
      </x:c>
      <x:c r="G625" s="37" t="n">
        <x:f>C625*F625</x:f>
        <x:v>7.300000000000001</x:v>
      </x:c>
    </x:row>
    <x:row r="626" ht="15" hidden="0" customHeight="1">
      <x:c r="A626" s="34" t="str">
        <x:v>STU0057</x:v>
      </x:c>
      <x:c r="B626" s="35" t="str">
        <x:v>CSE3CAP - Oral presentation: Final Project Presentation</x:v>
      </x:c>
      <x:c r="C626" s="35" t="n">
        <x:v>72</x:v>
      </x:c>
      <x:c r="D626"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626" s="36" t="str">
        <x:v>SILO3: reporting project outcomes to technical and non-technical audiences and reflecting on feedback</x:v>
      </x:c>
      <x:c r="F626" s="35" t="n">
        <x:v>0.2</x:v>
      </x:c>
      <x:c r="G626" s="37" t="n">
        <x:f>C626*F626</x:f>
        <x:v>14.4</x:v>
      </x:c>
    </x:row>
    <x:row r="627" ht="15" hidden="0" customHeight="1">
      <x:c r="A627" s="34" t="str">
        <x:v>STU0057</x:v>
      </x:c>
      <x:c r="B627" s="35" t="str">
        <x:v>CSE3CAP - Assignment: Final written Project Report</x:v>
      </x:c>
      <x:c r="C627" s="35" t="n">
        <x:v>72</x:v>
      </x:c>
      <x:c r="D627" s="36" t="str">
        <x:v>This sound result shows a competent and generally reliable grasp of the relevant learning themes, particularly industry standard technical solutions in software or cybersecurity practice and professional system documentation and advanced technical reporting to industry standards. To strengthen the result, the student should provide clearer reasoning, improve technical precision and show more complete testing or reflection.</x:v>
      </x:c>
      <x:c r="E627" s="36" t="str">
        <x:v>SILO2: industry standard technical solutions in software or cybersecurity practice; SILO4: professional system documentation and advanced technical reporting to industry standards</x:v>
      </x:c>
      <x:c r="F627" s="35" t="n">
        <x:v>0.35</x:v>
      </x:c>
      <x:c r="G627" s="37" t="n">
        <x:f>C627*F627</x:f>
        <x:v>25.2</x:v>
      </x:c>
    </x:row>
    <x:row r="628" ht="15" hidden="0" customHeight="1">
      <x:c r="A628" s="34" t="str">
        <x:v>STU0057</x:v>
      </x:c>
      <x:c r="B628" s="35" t="str">
        <x:v>CSE3CAP - Assignment: Sprint Project management reports</x:v>
      </x:c>
      <x:c r="C628" s="35" t="n">
        <x:v>73</x:v>
      </x:c>
      <x:c r="D628" s="36" t="str">
        <x:v>This sound result shows a competent and generally reliable grasp of the relevant learning themes, particularly advanced project management during substantive development implementation and industry standard technical solutions in software or cybersecurity practice. To strengthen the result, the student should provide clearer reasoning, improve technical precision and show more complete testing or reflection.</x:v>
      </x:c>
      <x:c r="E628" s="36" t="str">
        <x:v>SILO1: advanced project management during substantive development implementation; SILO2: industry standard technical solutions in software or cybersecurity practice</x:v>
      </x:c>
      <x:c r="F628" s="35" t="n">
        <x:v>0.35</x:v>
      </x:c>
      <x:c r="G628" s="37" t="n">
        <x:f>C628*F628</x:f>
        <x:v>25.549999999999997</x:v>
      </x:c>
    </x:row>
    <x:row r="629" ht="15" hidden="0" customHeight="1">
      <x:c r="A629" s="34" t="str">
        <x:v>STU0058</x:v>
      </x:c>
      <x:c r="B629" s="35" t="str">
        <x:v>CSE1OOF - Test</x:v>
      </x:c>
      <x:c r="C629" s="35" t="n">
        <x:v>88</x:v>
      </x:c>
      <x:c r="D629" s="36" t="str">
        <x:v>This excellent result demonstrates confident and independent command of the relevant learning themes, particularly analysis/design/implementation compared with object-oriented modelling using objects that combine data structure and behaviour and abstract data types and encapsulation to localise and minimise change. The work is clear, accurate and well justified, with only minor opportunities to further polish explanation or evaluation.</x:v>
      </x:c>
      <x:c r="E629" s="36" t="str">
        <x:v>SILO1: analysis/design/implementation compared with object-oriented modelling using objects that combine data structure and behaviour; SILO2: abstract data types and encapsulation to localise and minimise change</x:v>
      </x:c>
      <x:c r="F629" s="35" t="n">
        <x:v>0.15</x:v>
      </x:c>
      <x:c r="G629" s="37" t="n">
        <x:f>C629*F629</x:f>
        <x:v>13.2</x:v>
      </x:c>
    </x:row>
    <x:row r="630" ht="15" hidden="0" customHeight="1">
      <x:c r="A630" s="34" t="str">
        <x:v>STU0058</x:v>
      </x:c>
      <x:c r="B630" s="35" t="str">
        <x:v>CSE1OOF - Practical demonstration</x:v>
      </x:c>
      <x:c r="C630" s="35" t="n">
        <x:v>87</x:v>
      </x:c>
      <x:c r="D630" s="36" t="str">
        <x:v>This excellent result demonstrates confident and independent command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work is clear, accurate and well justified, with only minor opportunities to further polish explanation or evaluation.</x:v>
      </x:c>
      <x:c r="E630" s="36" t="str">
        <x:v>SILO2: abstract data types and encapsulation to localise and minimise change; SILO3: code sharing and reuse through object-oriented techniques to reduce development time; SILO4: object-oriented design and implementation of computer programs for real-life problems</x:v>
      </x:c>
      <x:c r="F630" s="35" t="n">
        <x:v>0.2</x:v>
      </x:c>
      <x:c r="G630" s="37" t="n">
        <x:f>C630*F630</x:f>
        <x:v>17.400000000000002</x:v>
      </x:c>
    </x:row>
    <x:row r="631" ht="15" hidden="0" customHeight="1">
      <x:c r="A631" s="34" t="str">
        <x:v>STU0058</x:v>
      </x:c>
      <x:c r="B631" s="35" t="str">
        <x:v>CSE1OOF - Assignment</x:v>
      </x:c>
      <x:c r="C631" s="35" t="n">
        <x:v>86</x:v>
      </x:c>
      <x:c r="D631" s="36" t="str">
        <x:v>This excellent result demonstrates confident and independent command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work is clear, accurate and well justified, with only minor opportunities to further polish explanation or evaluation.</x:v>
      </x:c>
      <x:c r="E631" s="36" t="str">
        <x:v>SILO2: abstract data types and encapsulation to localise and minimise change; SILO3: code sharing and reuse through object-oriented techniques to reduce development time; SILO4: object-oriented design and implementation of computer programs for real-life problems</x:v>
      </x:c>
      <x:c r="F631" s="35" t="n">
        <x:v>0.25</x:v>
      </x:c>
      <x:c r="G631" s="37" t="n">
        <x:f>C631*F631</x:f>
        <x:v>21.5</x:v>
      </x:c>
    </x:row>
    <x:row r="632" ht="15" hidden="0" customHeight="1">
      <x:c r="A632" s="34" t="str">
        <x:v>STU0058</x:v>
      </x:c>
      <x:c r="B632" s="35" t="str">
        <x:v>CSE1OOF - Central examination</x:v>
      </x:c>
      <x:c r="C632" s="35" t="n">
        <x:v>82</x:v>
      </x:c>
      <x:c r="D632" s="36" t="str">
        <x:v>This strong result shows well-developed understanding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Further improvement would come from deeper justification, more consistent evaluation evidence and tighter links between decisions and implementation details.</x:v>
      </x:c>
      <x:c r="E632"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632" s="35" t="n">
        <x:v>0.4</x:v>
      </x:c>
      <x:c r="G632" s="37" t="n">
        <x:f>C632*F632</x:f>
        <x:v>32.800000000000004</x:v>
      </x:c>
    </x:row>
    <x:row r="633" ht="15" hidden="0" customHeight="1">
      <x:c r="A633" s="34" t="str">
        <x:v>STU0058</x:v>
      </x:c>
      <x:c r="B633" s="35" t="str">
        <x:v>CSE2ALG - Test</x:v>
      </x:c>
      <x:c r="C633" s="35" t="n">
        <x:v>77</x:v>
      </x:c>
      <x:c r="D633" s="36" t="str">
        <x:v>This strong result shows well-developed understanding of the relevant learning themes, particularly overall objectives of Algorithms and Data Structures, identifying data structures and searching and sorting algorithms in computing contexts, and implementing data structures and searching and sorting algorithms in Java. Further improvement would come from deeper justification, more consistent evaluation evidence and tighter links between decisions and implementation details.</x:v>
      </x:c>
      <x:c r="E633" s="36" t="str">
        <x:v>SILO1: overall objectives of Algorithms and Data Structures; SILO2: identifying data structures and searching and sorting algorithms in computing contexts; SILO3: implementing data structures and searching and sorting algorithms in Java</x:v>
      </x:c>
      <x:c r="F633" s="35" t="n">
        <x:v>0.2</x:v>
      </x:c>
      <x:c r="G633" s="37" t="n">
        <x:f>C633*F633</x:f>
        <x:v>15.4</x:v>
      </x:c>
    </x:row>
    <x:row r="634" ht="15" hidden="0" customHeight="1">
      <x:c r="A634" s="34" t="str">
        <x:v>STU0058</x:v>
      </x:c>
      <x:c r="B634" s="35" t="str">
        <x:v>CSE2ALG - Assignment</x:v>
      </x:c>
      <x:c r="C634" s="35" t="n">
        <x:v>80</x:v>
      </x:c>
      <x:c r="D634" s="36" t="str">
        <x:v>This strong result shows well-developed understanding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Further improvement would come from deeper justification, more consistent evaluation evidence and tighter links between decisions and implementation details.</x:v>
      </x:c>
      <x:c r="E634"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634" s="35" t="n">
        <x:v>0.3</x:v>
      </x:c>
      <x:c r="G634" s="37" t="n">
        <x:f>C634*F634</x:f>
        <x:v>24</x:v>
      </x:c>
    </x:row>
    <x:row r="635" ht="15" hidden="0" customHeight="1">
      <x:c r="A635" s="34" t="str">
        <x:v>STU0058</x:v>
      </x:c>
      <x:c r="B635" s="35" t="str">
        <x:v>CSE2ALG - Central examination</x:v>
      </x:c>
      <x:c r="C635" s="35" t="n">
        <x:v>79</x:v>
      </x:c>
      <x:c r="D635" s="36" t="str">
        <x:v>This strong result shows well-developed understanding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Further improvement would come from deeper justification, more consistent evaluation evidence and tighter links between decisions and implementation details.</x:v>
      </x:c>
      <x:c r="E635"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635" s="35" t="n">
        <x:v>0.5</x:v>
      </x:c>
      <x:c r="G635" s="37" t="n">
        <x:f>C635*F635</x:f>
        <x:v>39.5</x:v>
      </x:c>
    </x:row>
    <x:row r="636" ht="15" hidden="0" customHeight="1">
      <x:c r="A636" s="34" t="str">
        <x:v>STU0058</x:v>
      </x:c>
      <x:c r="B636" s="35" t="str">
        <x:v>CSE3CAP - Oral presentation: Project Milestone Presentation</x:v>
      </x:c>
      <x:c r="C636" s="35" t="n">
        <x:v>80</x:v>
      </x:c>
      <x:c r="D636"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636" s="36" t="str">
        <x:v>SILO3: reporting project outcomes to technical and non-technical audiences and reflecting on feedback</x:v>
      </x:c>
      <x:c r="F636" s="35" t="n">
        <x:v>0.1</x:v>
      </x:c>
      <x:c r="G636" s="37" t="n">
        <x:f>C636*F636</x:f>
        <x:v>8</x:v>
      </x:c>
    </x:row>
    <x:row r="637" ht="15" hidden="0" customHeight="1">
      <x:c r="A637" s="34" t="str">
        <x:v>STU0058</x:v>
      </x:c>
      <x:c r="B637" s="35" t="str">
        <x:v>CSE3CAP - Oral presentation: Final Project Presentation</x:v>
      </x:c>
      <x:c r="C637" s="35" t="n">
        <x:v>80</x:v>
      </x:c>
      <x:c r="D637"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637" s="36" t="str">
        <x:v>SILO3: reporting project outcomes to technical and non-technical audiences and reflecting on feedback</x:v>
      </x:c>
      <x:c r="F637" s="35" t="n">
        <x:v>0.2</x:v>
      </x:c>
      <x:c r="G637" s="37" t="n">
        <x:f>C637*F637</x:f>
        <x:v>16</x:v>
      </x:c>
    </x:row>
    <x:row r="638" ht="15" hidden="0" customHeight="1">
      <x:c r="A638" s="34" t="str">
        <x:v>STU0058</x:v>
      </x:c>
      <x:c r="B638" s="35" t="str">
        <x:v>CSE3CAP - Assignment: Final written Project Report</x:v>
      </x:c>
      <x:c r="C638" s="35" t="n">
        <x:v>83</x:v>
      </x:c>
      <x:c r="D638" s="36" t="str">
        <x:v>This strong result shows well-developed understanding of the relevant learning themes, particularly industry standard technical solutions in software or cybersecurity practice and professional system documentation and advanced technical reporting to industry standards. Further improvement would come from deeper justification, more consistent evaluation evidence and tighter links between decisions and implementation details.</x:v>
      </x:c>
      <x:c r="E638" s="36" t="str">
        <x:v>SILO2: industry standard technical solutions in software or cybersecurity practice; SILO4: professional system documentation and advanced technical reporting to industry standards</x:v>
      </x:c>
      <x:c r="F638" s="35" t="n">
        <x:v>0.35</x:v>
      </x:c>
      <x:c r="G638" s="37" t="n">
        <x:f>C638*F638</x:f>
        <x:v>29.049999999999997</x:v>
      </x:c>
    </x:row>
    <x:row r="639" ht="15" hidden="0" customHeight="1">
      <x:c r="A639" s="34" t="str">
        <x:v>STU0058</x:v>
      </x:c>
      <x:c r="B639" s="35" t="str">
        <x:v>CSE3CAP - Assignment: Sprint Project management reports</x:v>
      </x:c>
      <x:c r="C639" s="35" t="n">
        <x:v>83</x:v>
      </x:c>
      <x:c r="D639" s="36" t="str">
        <x:v>This strong result shows well-developed understanding of the relevant learning themes, particularly advanced project management during substantive development implementation and industry standard technical solutions in software or cybersecurity practice. Further improvement would come from deeper justification, more consistent evaluation evidence and tighter links between decisions and implementation details.</x:v>
      </x:c>
      <x:c r="E639" s="36" t="str">
        <x:v>SILO1: advanced project management during substantive development implementation; SILO2: industry standard technical solutions in software or cybersecurity practice</x:v>
      </x:c>
      <x:c r="F639" s="35" t="n">
        <x:v>0.35</x:v>
      </x:c>
      <x:c r="G639" s="37" t="n">
        <x:f>C639*F639</x:f>
        <x:v>29.049999999999997</x:v>
      </x:c>
    </x:row>
    <x:row r="640" ht="15" hidden="0" customHeight="1">
      <x:c r="A640" s="34" t="str">
        <x:v>STU0059</x:v>
      </x:c>
      <x:c r="B640" s="35" t="str">
        <x:v>CSE1OOF - Test</x:v>
      </x:c>
      <x:c r="C640" s="35" t="n">
        <x:v>62</x:v>
      </x:c>
      <x:c r="D640"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640" s="36" t="str">
        <x:v>SILO1: analysis/design/implementation compared with object-oriented modelling using objects that combine data structure and behaviour; SILO2: abstract data types and encapsulation to localise and minimise change</x:v>
      </x:c>
      <x:c r="F640" s="35" t="n">
        <x:v>0.15</x:v>
      </x:c>
      <x:c r="G640" s="37" t="n">
        <x:f>C640*F640</x:f>
        <x:v>9.299999999999999</x:v>
      </x:c>
    </x:row>
    <x:row r="641" ht="15" hidden="0" customHeight="1">
      <x:c r="A641" s="34" t="str">
        <x:v>STU0059</x:v>
      </x:c>
      <x:c r="B641" s="35" t="str">
        <x:v>CSE1OOF - Practical demonstration</x:v>
      </x:c>
      <x:c r="C641" s="35" t="n">
        <x:v>61</x:v>
      </x:c>
      <x:c r="D641"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641" s="36" t="str">
        <x:v>SILO2: abstract data types and encapsulation to localise and minimise change; SILO3: code sharing and reuse through object-oriented techniques to reduce development time; SILO4: object-oriented design and implementation of computer programs for real-life problems</x:v>
      </x:c>
      <x:c r="F641" s="35" t="n">
        <x:v>0.2</x:v>
      </x:c>
      <x:c r="G641" s="37" t="n">
        <x:f>C641*F641</x:f>
        <x:v>12.200000000000001</x:v>
      </x:c>
    </x:row>
    <x:row r="642" ht="15" hidden="0" customHeight="1">
      <x:c r="A642" s="34" t="str">
        <x:v>STU0059</x:v>
      </x:c>
      <x:c r="B642" s="35" t="str">
        <x:v>CSE1OOF - Assignment</x:v>
      </x:c>
      <x:c r="C642" s="35" t="n">
        <x:v>61</x:v>
      </x:c>
      <x:c r="D642"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642" s="36" t="str">
        <x:v>SILO2: abstract data types and encapsulation to localise and minimise change; SILO3: code sharing and reuse through object-oriented techniques to reduce development time; SILO4: object-oriented design and implementation of computer programs for real-life problems</x:v>
      </x:c>
      <x:c r="F642" s="35" t="n">
        <x:v>0.25</x:v>
      </x:c>
      <x:c r="G642" s="37" t="n">
        <x:f>C642*F642</x:f>
        <x:v>15.25</x:v>
      </x:c>
    </x:row>
    <x:row r="643" ht="15" hidden="0" customHeight="1">
      <x:c r="A643" s="34" t="str">
        <x:v>STU0059</x:v>
      </x:c>
      <x:c r="B643" s="35" t="str">
        <x:v>CSE1OOF - Central examination</x:v>
      </x:c>
      <x:c r="C643" s="35" t="n">
        <x:v>63</x:v>
      </x:c>
      <x:c r="D643" s="36" t="str">
        <x:v>This developing result meets the core requirements but needs greater consistency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Future work should focus on consolidating the underlying concepts, applying them more consistently and explaining design or implementation decisions with stronger evidence.</x:v>
      </x:c>
      <x:c r="E643"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643" s="35" t="n">
        <x:v>0.4</x:v>
      </x:c>
      <x:c r="G643" s="37" t="n">
        <x:f>C643*F643</x:f>
        <x:v>25.200000000000003</x:v>
      </x:c>
    </x:row>
    <x:row r="644" ht="15" hidden="0" customHeight="1">
      <x:c r="A644" s="34" t="str">
        <x:v>STU0059</x:v>
      </x:c>
      <x:c r="B644" s="35" t="str">
        <x:v>CSE2ALG - Test</x:v>
      </x:c>
      <x:c r="C644" s="35" t="n">
        <x:v>53</x:v>
      </x:c>
      <x:c r="D644"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644" s="36" t="str">
        <x:v>SILO1: overall objectives of Algorithms and Data Structures; SILO2: identifying data structures and searching and sorting algorithms in computing contexts; SILO3: implementing data structures and searching and sorting algorithms in Java</x:v>
      </x:c>
      <x:c r="F644" s="35" t="n">
        <x:v>0.2</x:v>
      </x:c>
      <x:c r="G644" s="37" t="n">
        <x:f>C644*F644</x:f>
        <x:v>10.600000000000001</x:v>
      </x:c>
    </x:row>
    <x:row r="645" ht="15" hidden="0" customHeight="1">
      <x:c r="A645" s="34" t="str">
        <x:v>STU0059</x:v>
      </x:c>
      <x:c r="B645" s="35" t="str">
        <x:v>CSE2ALG - Assignment</x:v>
      </x:c>
      <x:c r="C645" s="35" t="n">
        <x:v>56</x:v>
      </x:c>
      <x:c r="D645"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645"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645" s="35" t="n">
        <x:v>0.3</x:v>
      </x:c>
      <x:c r="G645" s="37" t="n">
        <x:f>C645*F645</x:f>
        <x:v>16.8</x:v>
      </x:c>
    </x:row>
    <x:row r="646" ht="15" hidden="0" customHeight="1">
      <x:c r="A646" s="34" t="str">
        <x:v>STU0059</x:v>
      </x:c>
      <x:c r="B646" s="35" t="str">
        <x:v>CSE2ALG - Central examination</x:v>
      </x:c>
      <x:c r="C646" s="35" t="n">
        <x:v>52</x:v>
      </x:c>
      <x:c r="D646" s="36" t="str">
        <x:v>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x:v>
      </x:c>
      <x:c r="E646"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646" s="35" t="n">
        <x:v>0.5</x:v>
      </x:c>
      <x:c r="G646" s="37" t="n">
        <x:f>C646*F646</x:f>
        <x:v>26</x:v>
      </x:c>
    </x:row>
    <x:row r="647" ht="15" hidden="0" customHeight="1">
      <x:c r="A647" s="34" t="str">
        <x:v>STU0059</x:v>
      </x:c>
      <x:c r="B647" s="35" t="str">
        <x:v>CSE3CAP - Oral presentation: Project Milestone Presentation</x:v>
      </x:c>
      <x:c r="C647" s="35" t="n">
        <x:v>54</x:v>
      </x:c>
      <x:c r="D647"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647" s="36" t="str">
        <x:v>SILO3: reporting project outcomes to technical and non-technical audiences and reflecting on feedback</x:v>
      </x:c>
      <x:c r="F647" s="35" t="n">
        <x:v>0.1</x:v>
      </x:c>
      <x:c r="G647" s="37" t="n">
        <x:f>C647*F647</x:f>
        <x:v>5.4</x:v>
      </x:c>
    </x:row>
    <x:row r="648" ht="15" hidden="0" customHeight="1">
      <x:c r="A648" s="34" t="str">
        <x:v>STU0059</x:v>
      </x:c>
      <x:c r="B648" s="35" t="str">
        <x:v>CSE3CAP - Oral presentation: Final Project Presentation</x:v>
      </x:c>
      <x:c r="C648" s="35" t="n">
        <x:v>52</x:v>
      </x:c>
      <x:c r="D648"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648" s="36" t="str">
        <x:v>SILO3: reporting project outcomes to technical and non-technical audiences and reflecting on feedback</x:v>
      </x:c>
      <x:c r="F648" s="35" t="n">
        <x:v>0.2</x:v>
      </x:c>
      <x:c r="G648" s="37" t="n">
        <x:f>C648*F648</x:f>
        <x:v>10.4</x:v>
      </x:c>
    </x:row>
    <x:row r="649" ht="15" hidden="0" customHeight="1">
      <x:c r="A649" s="34" t="str">
        <x:v>STU0059</x:v>
      </x:c>
      <x:c r="B649" s="35" t="str">
        <x:v>CSE3CAP - Assignment: Final written Project Report</x:v>
      </x:c>
      <x:c r="C649" s="35" t="n">
        <x:v>56</x:v>
      </x:c>
      <x:c r="D649"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649" s="36" t="str">
        <x:v>SILO2: industry standard technical solutions in software or cybersecurity practice; SILO4: professional system documentation and advanced technical reporting to industry standards</x:v>
      </x:c>
      <x:c r="F649" s="35" t="n">
        <x:v>0.35</x:v>
      </x:c>
      <x:c r="G649" s="37" t="n">
        <x:f>C649*F649</x:f>
        <x:v>19.599999999999998</x:v>
      </x:c>
    </x:row>
    <x:row r="650" ht="15" hidden="0" customHeight="1">
      <x:c r="A650" s="34" t="str">
        <x:v>STU0059</x:v>
      </x:c>
      <x:c r="B650" s="35" t="str">
        <x:v>CSE3CAP - Assignment: Sprint Project management reports</x:v>
      </x:c>
      <x:c r="C650" s="35" t="n">
        <x:v>51</x:v>
      </x:c>
      <x:c r="D650"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650" s="36" t="str">
        <x:v>SILO1: advanced project management during substantive development implementation; SILO2: industry standard technical solutions in software or cybersecurity practice</x:v>
      </x:c>
      <x:c r="F650" s="35" t="n">
        <x:v>0.35</x:v>
      </x:c>
      <x:c r="G650" s="37" t="n">
        <x:f>C650*F650</x:f>
        <x:v>17.849999999999998</x:v>
      </x:c>
    </x:row>
    <x:row r="651" ht="15" hidden="0" customHeight="1">
      <x:c r="A651" s="34" t="str">
        <x:v>STU0060</x:v>
      </x:c>
      <x:c r="B651" s="35" t="str">
        <x:v>CSE1OOF - Test</x:v>
      </x:c>
      <x:c r="C651" s="35" t="n">
        <x:v>69</x:v>
      </x:c>
      <x:c r="D651"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651" s="36" t="str">
        <x:v>SILO1: analysis/design/implementation compared with object-oriented modelling using objects that combine data structure and behaviour; SILO2: abstract data types and encapsulation to localise and minimise change</x:v>
      </x:c>
      <x:c r="F651" s="35" t="n">
        <x:v>0.15</x:v>
      </x:c>
      <x:c r="G651" s="37" t="n">
        <x:f>C651*F651</x:f>
        <x:v>10.35</x:v>
      </x:c>
    </x:row>
    <x:row r="652" ht="15" hidden="0" customHeight="1">
      <x:c r="A652" s="34" t="str">
        <x:v>STU0060</x:v>
      </x:c>
      <x:c r="B652" s="35" t="str">
        <x:v>CSE1OOF - Practical demonstration</x:v>
      </x:c>
      <x:c r="C652" s="35" t="n">
        <x:v>68</x:v>
      </x:c>
      <x:c r="D652"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652" s="36" t="str">
        <x:v>SILO2: abstract data types and encapsulation to localise and minimise change; SILO3: code sharing and reuse through object-oriented techniques to reduce development time; SILO4: object-oriented design and implementation of computer programs for real-life problems</x:v>
      </x:c>
      <x:c r="F652" s="35" t="n">
        <x:v>0.2</x:v>
      </x:c>
      <x:c r="G652" s="37" t="n">
        <x:f>C652*F652</x:f>
        <x:v>13.600000000000001</x:v>
      </x:c>
    </x:row>
    <x:row r="653" ht="15" hidden="0" customHeight="1">
      <x:c r="A653" s="34" t="str">
        <x:v>STU0060</x:v>
      </x:c>
      <x:c r="B653" s="35" t="str">
        <x:v>CSE1OOF - Assignment</x:v>
      </x:c>
      <x:c r="C653" s="35" t="n">
        <x:v>70</x:v>
      </x:c>
      <x:c r="D653"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653" s="36" t="str">
        <x:v>SILO2: abstract data types and encapsulation to localise and minimise change; SILO3: code sharing and reuse through object-oriented techniques to reduce development time; SILO4: object-oriented design and implementation of computer programs for real-life problems</x:v>
      </x:c>
      <x:c r="F653" s="35" t="n">
        <x:v>0.25</x:v>
      </x:c>
      <x:c r="G653" s="37" t="n">
        <x:f>C653*F653</x:f>
        <x:v>17.5</x:v>
      </x:c>
    </x:row>
    <x:row r="654" ht="15" hidden="0" customHeight="1">
      <x:c r="A654" s="34" t="str">
        <x:v>STU0060</x:v>
      </x:c>
      <x:c r="B654" s="35" t="str">
        <x:v>CSE1OOF - Central examination</x:v>
      </x:c>
      <x:c r="C654" s="35" t="n">
        <x:v>70</x:v>
      </x:c>
      <x:c r="D654"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654"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654" s="35" t="n">
        <x:v>0.4</x:v>
      </x:c>
      <x:c r="G654" s="37" t="n">
        <x:f>C654*F654</x:f>
        <x:v>28</x:v>
      </x:c>
    </x:row>
    <x:row r="655" ht="15" hidden="0" customHeight="1">
      <x:c r="A655" s="34" t="str">
        <x:v>STU0060</x:v>
      </x:c>
      <x:c r="B655" s="35" t="str">
        <x:v>CSE2ALG - Test</x:v>
      </x:c>
      <x:c r="C655" s="35" t="n">
        <x:v>68</x:v>
      </x:c>
      <x:c r="D655"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655" s="36" t="str">
        <x:v>SILO1: overall objectives of Algorithms and Data Structures; SILO2: identifying data structures and searching and sorting algorithms in computing contexts; SILO3: implementing data structures and searching and sorting algorithms in Java</x:v>
      </x:c>
      <x:c r="F655" s="35" t="n">
        <x:v>0.2</x:v>
      </x:c>
      <x:c r="G655" s="37" t="n">
        <x:f>C655*F655</x:f>
        <x:v>13.600000000000001</x:v>
      </x:c>
    </x:row>
    <x:row r="656" ht="15" hidden="0" customHeight="1">
      <x:c r="A656" s="34" t="str">
        <x:v>STU0060</x:v>
      </x:c>
      <x:c r="B656" s="35" t="str">
        <x:v>CSE2ALG - Assignment</x:v>
      </x:c>
      <x:c r="C656" s="35" t="n">
        <x:v>69</x:v>
      </x:c>
      <x:c r="D656" s="36" t="str">
        <x:v>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x:v>
      </x:c>
      <x:c r="E656"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656" s="35" t="n">
        <x:v>0.3</x:v>
      </x:c>
      <x:c r="G656" s="37" t="n">
        <x:f>C656*F656</x:f>
        <x:v>20.7</x:v>
      </x:c>
    </x:row>
    <x:row r="657" ht="15" hidden="0" customHeight="1">
      <x:c r="A657" s="34" t="str">
        <x:v>STU0060</x:v>
      </x:c>
      <x:c r="B657" s="35" t="str">
        <x:v>CSE2ALG - Central examination</x:v>
      </x:c>
      <x:c r="C657" s="35" t="n">
        <x:v>65</x:v>
      </x:c>
      <x:c r="D657"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657"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657" s="35" t="n">
        <x:v>0.5</x:v>
      </x:c>
      <x:c r="G657" s="37" t="n">
        <x:f>C657*F657</x:f>
        <x:v>32.5</x:v>
      </x:c>
    </x:row>
    <x:row r="658" ht="15" hidden="0" customHeight="1">
      <x:c r="A658" s="34" t="str">
        <x:v>STU0060</x:v>
      </x:c>
      <x:c r="B658" s="35" t="str">
        <x:v>CSE3CAP - Oral presentation: Project Milestone Presentation</x:v>
      </x:c>
      <x:c r="C658" s="35" t="n">
        <x:v>67</x:v>
      </x:c>
      <x:c r="D658"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658" s="36" t="str">
        <x:v>SILO3: reporting project outcomes to technical and non-technical audiences and reflecting on feedback</x:v>
      </x:c>
      <x:c r="F658" s="35" t="n">
        <x:v>0.1</x:v>
      </x:c>
      <x:c r="G658" s="37" t="n">
        <x:f>C658*F658</x:f>
        <x:v>6.7</x:v>
      </x:c>
    </x:row>
    <x:row r="659" ht="15" hidden="0" customHeight="1">
      <x:c r="A659" s="34" t="str">
        <x:v>STU0060</x:v>
      </x:c>
      <x:c r="B659" s="35" t="str">
        <x:v>CSE3CAP - Oral presentation: Final Project Presentation</x:v>
      </x:c>
      <x:c r="C659" s="35" t="n">
        <x:v>70</x:v>
      </x:c>
      <x:c r="D659"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659" s="36" t="str">
        <x:v>SILO3: reporting project outcomes to technical and non-technical audiences and reflecting on feedback</x:v>
      </x:c>
      <x:c r="F659" s="35" t="n">
        <x:v>0.2</x:v>
      </x:c>
      <x:c r="G659" s="37" t="n">
        <x:f>C659*F659</x:f>
        <x:v>14</x:v>
      </x:c>
    </x:row>
    <x:row r="660" ht="15" hidden="0" customHeight="1">
      <x:c r="A660" s="34" t="str">
        <x:v>STU0060</x:v>
      </x:c>
      <x:c r="B660" s="35" t="str">
        <x:v>CSE3CAP - Assignment: Final written Project Report</x:v>
      </x:c>
      <x:c r="C660" s="35" t="n">
        <x:v>69</x:v>
      </x:c>
      <x:c r="D660" s="36" t="str">
        <x:v>This sound result shows a competent and generally reliable grasp of the relevant learning themes, particularly industry standard technical solutions in software or cybersecurity practice and professional system documentation and advanced technical reporting to industry standards. To strengthen the result, the student should provide clearer reasoning, improve technical precision and show more complete testing or reflection.</x:v>
      </x:c>
      <x:c r="E660" s="36" t="str">
        <x:v>SILO2: industry standard technical solutions in software or cybersecurity practice; SILO4: professional system documentation and advanced technical reporting to industry standards</x:v>
      </x:c>
      <x:c r="F660" s="35" t="n">
        <x:v>0.35</x:v>
      </x:c>
      <x:c r="G660" s="37" t="n">
        <x:f>C660*F660</x:f>
        <x:v>24.15</x:v>
      </x:c>
    </x:row>
    <x:row r="661" ht="15" hidden="0" customHeight="1">
      <x:c r="A661" s="34" t="str">
        <x:v>STU0060</x:v>
      </x:c>
      <x:c r="B661" s="35" t="str">
        <x:v>CSE3CAP - Assignment: Sprint Project management reports</x:v>
      </x:c>
      <x:c r="C661" s="35" t="n">
        <x:v>70</x:v>
      </x:c>
      <x:c r="D661" s="36" t="str">
        <x:v>This sound result shows a competent and generally reliable grasp of the relevant learning themes, particularly advanced project management during substantive development implementation and industry standard technical solutions in software or cybersecurity practice. To strengthen the result, the student should provide clearer reasoning, improve technical precision and show more complete testing or reflection.</x:v>
      </x:c>
      <x:c r="E661" s="36" t="str">
        <x:v>SILO1: advanced project management during substantive development implementation; SILO2: industry standard technical solutions in software or cybersecurity practice</x:v>
      </x:c>
      <x:c r="F661" s="35" t="n">
        <x:v>0.35</x:v>
      </x:c>
      <x:c r="G661" s="37" t="n">
        <x:f>C661*F661</x:f>
        <x:v>24.5</x:v>
      </x:c>
    </x:row>
    <x:row r="662" ht="15" hidden="0" customHeight="1">
      <x:c r="A662" s="34" t="str">
        <x:v>STU0061</x:v>
      </x:c>
      <x:c r="B662" s="35" t="str">
        <x:v>CSE1OOF - Test</x:v>
      </x:c>
      <x:c r="C662" s="35" t="n">
        <x:v>49</x:v>
      </x:c>
      <x:c r="D662" s="36" t="str">
        <x:v>This limited result shows gaps that require targeted revision of the relevant learning themes, particularly analysis/design/implementation compared with object-oriented modelling using objects that combine data structure and behaviour and abstract data types and encapsulation to localise and minimise change. The student should revisit the core concepts, seek feedback early and practise applying the techniques in smaller, well-tested examples before attempting the full assessment task.</x:v>
      </x:c>
      <x:c r="E662" s="36" t="str">
        <x:v>SILO1: analysis/design/implementation compared with object-oriented modelling using objects that combine data structure and behaviour; SILO2: abstract data types and encapsulation to localise and minimise change</x:v>
      </x:c>
      <x:c r="F662" s="35" t="n">
        <x:v>0.15</x:v>
      </x:c>
      <x:c r="G662" s="37" t="n">
        <x:f>C662*F662</x:f>
        <x:v>7.35</x:v>
      </x:c>
    </x:row>
    <x:row r="663" ht="15" hidden="0" customHeight="1">
      <x:c r="A663" s="34" t="str">
        <x:v>STU0061</x:v>
      </x:c>
      <x:c r="B663" s="35" t="str">
        <x:v>CSE1OOF - Practical demonstration</x:v>
      </x:c>
      <x:c r="C663" s="35" t="n">
        <x:v>49</x:v>
      </x:c>
      <x:c r="D663" s="36" t="str">
        <x:v>This limited result shows gaps that require targeted revision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student should revisit the core concepts, seek feedback early and practise applying the techniques in smaller, well-tested examples before attempting the full assessment task.</x:v>
      </x:c>
      <x:c r="E663" s="36" t="str">
        <x:v>SILO2: abstract data types and encapsulation to localise and minimise change; SILO3: code sharing and reuse through object-oriented techniques to reduce development time; SILO4: object-oriented design and implementation of computer programs for real-life problems</x:v>
      </x:c>
      <x:c r="F663" s="35" t="n">
        <x:v>0.2</x:v>
      </x:c>
      <x:c r="G663" s="37" t="n">
        <x:f>C663*F663</x:f>
        <x:v>9.8</x:v>
      </x:c>
    </x:row>
    <x:row r="664" ht="15" hidden="0" customHeight="1">
      <x:c r="A664" s="34" t="str">
        <x:v>STU0061</x:v>
      </x:c>
      <x:c r="B664" s="35" t="str">
        <x:v>CSE1OOF - Assignment</x:v>
      </x:c>
      <x:c r="C664" s="35" t="n">
        <x:v>46</x:v>
      </x:c>
      <x:c r="D664" s="36" t="str">
        <x:v>This limited result shows gaps that require targeted revision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student should revisit the core concepts, seek feedback early and practise applying the techniques in smaller, well-tested examples before attempting the full assessment task.</x:v>
      </x:c>
      <x:c r="E664" s="36" t="str">
        <x:v>SILO2: abstract data types and encapsulation to localise and minimise change; SILO3: code sharing and reuse through object-oriented techniques to reduce development time; SILO4: object-oriented design and implementation of computer programs for real-life problems</x:v>
      </x:c>
      <x:c r="F664" s="35" t="n">
        <x:v>0.25</x:v>
      </x:c>
      <x:c r="G664" s="37" t="n">
        <x:f>C664*F664</x:f>
        <x:v>11.5</x:v>
      </x:c>
    </x:row>
    <x:row r="665" ht="15" hidden="0" customHeight="1">
      <x:c r="A665" s="34" t="str">
        <x:v>STU0061</x:v>
      </x:c>
      <x:c r="B665" s="35" t="str">
        <x:v>CSE1OOF - Central examination</x:v>
      </x:c>
      <x:c r="C665" s="35" t="n">
        <x:v>48</x:v>
      </x:c>
      <x:c r="D665" s="36" t="str">
        <x:v>This limited result shows gaps that require targeted revision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The student should revisit the core concepts, seek feedback early and practise applying the techniques in smaller, well-tested examples before attempting the full assessment task.</x:v>
      </x:c>
      <x:c r="E665"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665" s="35" t="n">
        <x:v>0.4</x:v>
      </x:c>
      <x:c r="G665" s="37" t="n">
        <x:f>C665*F665</x:f>
        <x:v>19.200000000000003</x:v>
      </x:c>
    </x:row>
    <x:row r="666" ht="15" hidden="0" customHeight="1">
      <x:c r="A666" s="34" t="str">
        <x:v>STU0061</x:v>
      </x:c>
      <x:c r="B666" s="35" t="str">
        <x:v>CSE2ALG - Test</x:v>
      </x:c>
      <x:c r="C666" s="35" t="n">
        <x:v>55</x:v>
      </x:c>
      <x:c r="D666"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666" s="36" t="str">
        <x:v>SILO1: overall objectives of Algorithms and Data Structures; SILO2: identifying data structures and searching and sorting algorithms in computing contexts; SILO3: implementing data structures and searching and sorting algorithms in Java</x:v>
      </x:c>
      <x:c r="F666" s="35" t="n">
        <x:v>0.2</x:v>
      </x:c>
      <x:c r="G666" s="37" t="n">
        <x:f>C666*F666</x:f>
        <x:v>11</x:v>
      </x:c>
    </x:row>
    <x:row r="667" ht="15" hidden="0" customHeight="1">
      <x:c r="A667" s="34" t="str">
        <x:v>STU0061</x:v>
      </x:c>
      <x:c r="B667" s="35" t="str">
        <x:v>CSE2ALG - Assignment</x:v>
      </x:c>
      <x:c r="C667" s="35" t="n">
        <x:v>55</x:v>
      </x:c>
      <x:c r="D667"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667"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667" s="35" t="n">
        <x:v>0.3</x:v>
      </x:c>
      <x:c r="G667" s="37" t="n">
        <x:f>C667*F667</x:f>
        <x:v>16.5</x:v>
      </x:c>
    </x:row>
    <x:row r="668" ht="15" hidden="0" customHeight="1">
      <x:c r="A668" s="34" t="str">
        <x:v>STU0061</x:v>
      </x:c>
      <x:c r="B668" s="35" t="str">
        <x:v>CSE2ALG - Central examination</x:v>
      </x:c>
      <x:c r="C668" s="35" t="n">
        <x:v>53</x:v>
      </x:c>
      <x:c r="D668" s="36" t="str">
        <x:v>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x:v>
      </x:c>
      <x:c r="E668"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668" s="35" t="n">
        <x:v>0.5</x:v>
      </x:c>
      <x:c r="G668" s="37" t="n">
        <x:f>C668*F668</x:f>
        <x:v>26.5</x:v>
      </x:c>
    </x:row>
    <x:row r="669" ht="15" hidden="0" customHeight="1">
      <x:c r="A669" s="34" t="str">
        <x:v>STU0061</x:v>
      </x:c>
      <x:c r="B669" s="35" t="str">
        <x:v>CSE3CAP - Oral presentation: Project Milestone Presentation</x:v>
      </x:c>
      <x:c r="C669" s="35" t="n">
        <x:v>47</x:v>
      </x:c>
      <x:c r="D669" s="36" t="str">
        <x:v>This limited result shows gaps that require targeted revision of the relevant learning themes, particularly reporting project outcomes to technical and non-technical audiences and reflecting on feedback. The student should revisit the core concepts, seek feedback early and practise applying the techniques in smaller, well-tested examples before attempting the full assessment task.</x:v>
      </x:c>
      <x:c r="E669" s="36" t="str">
        <x:v>SILO3: reporting project outcomes to technical and non-technical audiences and reflecting on feedback</x:v>
      </x:c>
      <x:c r="F669" s="35" t="n">
        <x:v>0.1</x:v>
      </x:c>
      <x:c r="G669" s="37" t="n">
        <x:f>C669*F669</x:f>
        <x:v>4.7</x:v>
      </x:c>
    </x:row>
    <x:row r="670" ht="15" hidden="0" customHeight="1">
      <x:c r="A670" s="34" t="str">
        <x:v>STU0061</x:v>
      </x:c>
      <x:c r="B670" s="35" t="str">
        <x:v>CSE3CAP - Oral presentation: Final Project Presentation</x:v>
      </x:c>
      <x:c r="C670" s="35" t="n">
        <x:v>52</x:v>
      </x:c>
      <x:c r="D670"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670" s="36" t="str">
        <x:v>SILO3: reporting project outcomes to technical and non-technical audiences and reflecting on feedback</x:v>
      </x:c>
      <x:c r="F670" s="35" t="n">
        <x:v>0.2</x:v>
      </x:c>
      <x:c r="G670" s="37" t="n">
        <x:f>C670*F670</x:f>
        <x:v>10.4</x:v>
      </x:c>
    </x:row>
    <x:row r="671" ht="15" hidden="0" customHeight="1">
      <x:c r="A671" s="34" t="str">
        <x:v>STU0061</x:v>
      </x:c>
      <x:c r="B671" s="35" t="str">
        <x:v>CSE3CAP - Assignment: Final written Project Report</x:v>
      </x:c>
      <x:c r="C671" s="35" t="n">
        <x:v>48</x:v>
      </x:c>
      <x:c r="D671" s="36" t="str">
        <x:v>This limited result shows gaps that require targeted revision of the relevant learning themes, particularly industry standard technical solutions in software or cybersecurity practice and professional system documentation and advanced technical reporting to industry standards. The student should revisit the core concepts, seek feedback early and practise applying the techniques in smaller, well-tested examples before attempting the full assessment task.</x:v>
      </x:c>
      <x:c r="E671" s="36" t="str">
        <x:v>SILO2: industry standard technical solutions in software or cybersecurity practice; SILO4: professional system documentation and advanced technical reporting to industry standards</x:v>
      </x:c>
      <x:c r="F671" s="35" t="n">
        <x:v>0.35</x:v>
      </x:c>
      <x:c r="G671" s="37" t="n">
        <x:f>C671*F671</x:f>
        <x:v>16.799999999999997</x:v>
      </x:c>
    </x:row>
    <x:row r="672" ht="15" hidden="0" customHeight="1">
      <x:c r="A672" s="34" t="str">
        <x:v>STU0061</x:v>
      </x:c>
      <x:c r="B672" s="35" t="str">
        <x:v>CSE3CAP - Assignment: Sprint Project management reports</x:v>
      </x:c>
      <x:c r="C672" s="35" t="n">
        <x:v>47</x:v>
      </x:c>
      <x:c r="D672" s="36" t="str">
        <x:v>This limited result shows gaps that require targeted revision of the relevant learning themes, particularly advanced project management during substantive development implementation and industry standard technical solutions in software or cybersecurity practice. The student should revisit the core concepts, seek feedback early and practise applying the techniques in smaller, well-tested examples before attempting the full assessment task.</x:v>
      </x:c>
      <x:c r="E672" s="36" t="str">
        <x:v>SILO1: advanced project management during substantive development implementation; SILO2: industry standard technical solutions in software or cybersecurity practice</x:v>
      </x:c>
      <x:c r="F672" s="35" t="n">
        <x:v>0.35</x:v>
      </x:c>
      <x:c r="G672" s="37" t="n">
        <x:f>C672*F672</x:f>
        <x:v>16.45</x:v>
      </x:c>
    </x:row>
    <x:row r="673" ht="15" hidden="0" customHeight="1">
      <x:c r="A673" s="34" t="str">
        <x:v>STU0062</x:v>
      </x:c>
      <x:c r="B673" s="35" t="str">
        <x:v>CSE1OOF - Test</x:v>
      </x:c>
      <x:c r="C673" s="35" t="n">
        <x:v>63</x:v>
      </x:c>
      <x:c r="D673"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673" s="36" t="str">
        <x:v>SILO1: analysis/design/implementation compared with object-oriented modelling using objects that combine data structure and behaviour; SILO2: abstract data types and encapsulation to localise and minimise change</x:v>
      </x:c>
      <x:c r="F673" s="35" t="n">
        <x:v>0.15</x:v>
      </x:c>
      <x:c r="G673" s="37" t="n">
        <x:f>C673*F673</x:f>
        <x:v>9.45</x:v>
      </x:c>
    </x:row>
    <x:row r="674" ht="15" hidden="0" customHeight="1">
      <x:c r="A674" s="34" t="str">
        <x:v>STU0062</x:v>
      </x:c>
      <x:c r="B674" s="35" t="str">
        <x:v>CSE1OOF - Practical demonstration</x:v>
      </x:c>
      <x:c r="C674" s="35" t="n">
        <x:v>62</x:v>
      </x:c>
      <x:c r="D674"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674" s="36" t="str">
        <x:v>SILO2: abstract data types and encapsulation to localise and minimise change; SILO3: code sharing and reuse through object-oriented techniques to reduce development time; SILO4: object-oriented design and implementation of computer programs for real-life problems</x:v>
      </x:c>
      <x:c r="F674" s="35" t="n">
        <x:v>0.2</x:v>
      </x:c>
      <x:c r="G674" s="37" t="n">
        <x:f>C674*F674</x:f>
        <x:v>12.4</x:v>
      </x:c>
    </x:row>
    <x:row r="675" ht="15" hidden="0" customHeight="1">
      <x:c r="A675" s="34" t="str">
        <x:v>STU0062</x:v>
      </x:c>
      <x:c r="B675" s="35" t="str">
        <x:v>CSE1OOF - Assignment</x:v>
      </x:c>
      <x:c r="C675" s="35" t="n">
        <x:v>64</x:v>
      </x:c>
      <x:c r="D675"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675" s="36" t="str">
        <x:v>SILO2: abstract data types and encapsulation to localise and minimise change; SILO3: code sharing and reuse through object-oriented techniques to reduce development time; SILO4: object-oriented design and implementation of computer programs for real-life problems</x:v>
      </x:c>
      <x:c r="F675" s="35" t="n">
        <x:v>0.25</x:v>
      </x:c>
      <x:c r="G675" s="37" t="n">
        <x:f>C675*F675</x:f>
        <x:v>16</x:v>
      </x:c>
    </x:row>
    <x:row r="676" ht="15" hidden="0" customHeight="1">
      <x:c r="A676" s="34" t="str">
        <x:v>STU0062</x:v>
      </x:c>
      <x:c r="B676" s="35" t="str">
        <x:v>CSE1OOF - Central examination</x:v>
      </x:c>
      <x:c r="C676" s="35" t="n">
        <x:v>62</x:v>
      </x:c>
      <x:c r="D676" s="36" t="str">
        <x:v>This developing result meets the core requirements but needs greater consistency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Future work should focus on consolidating the underlying concepts, applying them more consistently and explaining design or implementation decisions with stronger evidence.</x:v>
      </x:c>
      <x:c r="E676"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676" s="35" t="n">
        <x:v>0.4</x:v>
      </x:c>
      <x:c r="G676" s="37" t="n">
        <x:f>C676*F676</x:f>
        <x:v>24.8</x:v>
      </x:c>
    </x:row>
    <x:row r="677" ht="15" hidden="0" customHeight="1">
      <x:c r="A677" s="34" t="str">
        <x:v>STU0062</x:v>
      </x:c>
      <x:c r="B677" s="35" t="str">
        <x:v>CSE2ALG - Test</x:v>
      </x:c>
      <x:c r="C677" s="35" t="n">
        <x:v>61</x:v>
      </x:c>
      <x:c r="D677"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677" s="36" t="str">
        <x:v>SILO1: overall objectives of Algorithms and Data Structures; SILO2: identifying data structures and searching and sorting algorithms in computing contexts; SILO3: implementing data structures and searching and sorting algorithms in Java</x:v>
      </x:c>
      <x:c r="F677" s="35" t="n">
        <x:v>0.2</x:v>
      </x:c>
      <x:c r="G677" s="37" t="n">
        <x:f>C677*F677</x:f>
        <x:v>12.200000000000001</x:v>
      </x:c>
    </x:row>
    <x:row r="678" ht="15" hidden="0" customHeight="1">
      <x:c r="A678" s="34" t="str">
        <x:v>STU0062</x:v>
      </x:c>
      <x:c r="B678" s="35" t="str">
        <x:v>CSE2ALG - Assignment</x:v>
      </x:c>
      <x:c r="C678" s="35" t="n">
        <x:v>64</x:v>
      </x:c>
      <x:c r="D678"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678"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678" s="35" t="n">
        <x:v>0.3</x:v>
      </x:c>
      <x:c r="G678" s="37" t="n">
        <x:f>C678*F678</x:f>
        <x:v>19.2</x:v>
      </x:c>
    </x:row>
    <x:row r="679" ht="15" hidden="0" customHeight="1">
      <x:c r="A679" s="34" t="str">
        <x:v>STU0062</x:v>
      </x:c>
      <x:c r="B679" s="35" t="str">
        <x:v>CSE2ALG - Central examination</x:v>
      </x:c>
      <x:c r="C679" s="35" t="n">
        <x:v>63</x:v>
      </x:c>
      <x:c r="D679" s="36" t="str">
        <x:v>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x:v>
      </x:c>
      <x:c r="E679"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679" s="35" t="n">
        <x:v>0.5</x:v>
      </x:c>
      <x:c r="G679" s="37" t="n">
        <x:f>C679*F679</x:f>
        <x:v>31.5</x:v>
      </x:c>
    </x:row>
    <x:row r="680" ht="15" hidden="0" customHeight="1">
      <x:c r="A680" s="34" t="str">
        <x:v>STU0062</x:v>
      </x:c>
      <x:c r="B680" s="35" t="str">
        <x:v>CSE3CAP - Oral presentation: Project Milestone Presentation</x:v>
      </x:c>
      <x:c r="C680" s="35" t="n">
        <x:v>65</x:v>
      </x:c>
      <x:c r="D680"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680" s="36" t="str">
        <x:v>SILO3: reporting project outcomes to technical and non-technical audiences and reflecting on feedback</x:v>
      </x:c>
      <x:c r="F680" s="35" t="n">
        <x:v>0.1</x:v>
      </x:c>
      <x:c r="G680" s="37" t="n">
        <x:f>C680*F680</x:f>
        <x:v>6.5</x:v>
      </x:c>
    </x:row>
    <x:row r="681" ht="15" hidden="0" customHeight="1">
      <x:c r="A681" s="34" t="str">
        <x:v>STU0062</x:v>
      </x:c>
      <x:c r="B681" s="35" t="str">
        <x:v>CSE3CAP - Oral presentation: Final Project Presentation</x:v>
      </x:c>
      <x:c r="C681" s="35" t="n">
        <x:v>64</x:v>
      </x:c>
      <x:c r="D681"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681" s="36" t="str">
        <x:v>SILO3: reporting project outcomes to technical and non-technical audiences and reflecting on feedback</x:v>
      </x:c>
      <x:c r="F681" s="35" t="n">
        <x:v>0.2</x:v>
      </x:c>
      <x:c r="G681" s="37" t="n">
        <x:f>C681*F681</x:f>
        <x:v>12.8</x:v>
      </x:c>
    </x:row>
    <x:row r="682" ht="15" hidden="0" customHeight="1">
      <x:c r="A682" s="34" t="str">
        <x:v>STU0062</x:v>
      </x:c>
      <x:c r="B682" s="35" t="str">
        <x:v>CSE3CAP - Assignment: Final written Project Report</x:v>
      </x:c>
      <x:c r="C682" s="35" t="n">
        <x:v>61</x:v>
      </x:c>
      <x:c r="D682"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682" s="36" t="str">
        <x:v>SILO2: industry standard technical solutions in software or cybersecurity practice; SILO4: professional system documentation and advanced technical reporting to industry standards</x:v>
      </x:c>
      <x:c r="F682" s="35" t="n">
        <x:v>0.35</x:v>
      </x:c>
      <x:c r="G682" s="37" t="n">
        <x:f>C682*F682</x:f>
        <x:v>21.349999999999998</x:v>
      </x:c>
    </x:row>
    <x:row r="683" ht="15" hidden="0" customHeight="1">
      <x:c r="A683" s="34" t="str">
        <x:v>STU0062</x:v>
      </x:c>
      <x:c r="B683" s="35" t="str">
        <x:v>CSE3CAP - Assignment: Sprint Project management reports</x:v>
      </x:c>
      <x:c r="C683" s="35" t="n">
        <x:v>63</x:v>
      </x:c>
      <x:c r="D683"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683" s="36" t="str">
        <x:v>SILO1: advanced project management during substantive development implementation; SILO2: industry standard technical solutions in software or cybersecurity practice</x:v>
      </x:c>
      <x:c r="F683" s="35" t="n">
        <x:v>0.35</x:v>
      </x:c>
      <x:c r="G683" s="37" t="n">
        <x:f>C683*F683</x:f>
        <x:v>22.049999999999997</x:v>
      </x:c>
    </x:row>
    <x:row r="684" ht="15" hidden="0" customHeight="1">
      <x:c r="A684" s="34" t="str">
        <x:v>STU0063</x:v>
      </x:c>
      <x:c r="B684" s="35" t="str">
        <x:v>CSE1OOF - Test</x:v>
      </x:c>
      <x:c r="C684" s="35" t="n">
        <x:v>91</x:v>
      </x:c>
      <x:c r="D684" s="36" t="str">
        <x:v>This excellent result demonstrates confident and independent command of the relevant learning themes, particularly analysis/design/implementation compared with object-oriented modelling using objects that combine data structure and behaviour and abstract data types and encapsulation to localise and minimise change. The work is clear, accurate and well justified, with only minor opportunities to further polish explanation or evaluation.</x:v>
      </x:c>
      <x:c r="E684" s="36" t="str">
        <x:v>SILO1: analysis/design/implementation compared with object-oriented modelling using objects that combine data structure and behaviour; SILO2: abstract data types and encapsulation to localise and minimise change</x:v>
      </x:c>
      <x:c r="F684" s="35" t="n">
        <x:v>0.15</x:v>
      </x:c>
      <x:c r="G684" s="37" t="n">
        <x:f>C684*F684</x:f>
        <x:v>13.65</x:v>
      </x:c>
    </x:row>
    <x:row r="685" ht="15" hidden="0" customHeight="1">
      <x:c r="A685" s="34" t="str">
        <x:v>STU0063</x:v>
      </x:c>
      <x:c r="B685" s="35" t="str">
        <x:v>CSE1OOF - Practical demonstration</x:v>
      </x:c>
      <x:c r="C685" s="35" t="n">
        <x:v>94</x:v>
      </x:c>
      <x:c r="D685" s="36" t="str">
        <x:v>This excellent result demonstrates confident and independent command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work is clear, accurate and well justified, with only minor opportunities to further polish explanation or evaluation.</x:v>
      </x:c>
      <x:c r="E685" s="36" t="str">
        <x:v>SILO2: abstract data types and encapsulation to localise and minimise change; SILO3: code sharing and reuse through object-oriented techniques to reduce development time; SILO4: object-oriented design and implementation of computer programs for real-life problems</x:v>
      </x:c>
      <x:c r="F685" s="35" t="n">
        <x:v>0.2</x:v>
      </x:c>
      <x:c r="G685" s="37" t="n">
        <x:f>C685*F685</x:f>
        <x:v>18.8</x:v>
      </x:c>
    </x:row>
    <x:row r="686" ht="15" hidden="0" customHeight="1">
      <x:c r="A686" s="34" t="str">
        <x:v>STU0063</x:v>
      </x:c>
      <x:c r="B686" s="35" t="str">
        <x:v>CSE1OOF - Assignment</x:v>
      </x:c>
      <x:c r="C686" s="35" t="n">
        <x:v>90</x:v>
      </x:c>
      <x:c r="D686" s="36" t="str">
        <x:v>This excellent result demonstrates confident and independent command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work is clear, accurate and well justified, with only minor opportunities to further polish explanation or evaluation.</x:v>
      </x:c>
      <x:c r="E686" s="36" t="str">
        <x:v>SILO2: abstract data types and encapsulation to localise and minimise change; SILO3: code sharing and reuse through object-oriented techniques to reduce development time; SILO4: object-oriented design and implementation of computer programs for real-life problems</x:v>
      </x:c>
      <x:c r="F686" s="35" t="n">
        <x:v>0.25</x:v>
      </x:c>
      <x:c r="G686" s="37" t="n">
        <x:f>C686*F686</x:f>
        <x:v>22.5</x:v>
      </x:c>
    </x:row>
    <x:row r="687" ht="15" hidden="0" customHeight="1">
      <x:c r="A687" s="34" t="str">
        <x:v>STU0063</x:v>
      </x:c>
      <x:c r="B687" s="35" t="str">
        <x:v>CSE1OOF - Central examination</x:v>
      </x:c>
      <x:c r="C687" s="35" t="n">
        <x:v>91</x:v>
      </x:c>
      <x:c r="D687" s="36" t="str">
        <x:v>This excellent result demonstrates confident and independent command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The work is clear, accurate and well justified, with only minor opportunities to further polish explanation or evaluation.</x:v>
      </x:c>
      <x:c r="E687"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687" s="35" t="n">
        <x:v>0.4</x:v>
      </x:c>
      <x:c r="G687" s="37" t="n">
        <x:f>C687*F687</x:f>
        <x:v>36.4</x:v>
      </x:c>
    </x:row>
    <x:row r="688" ht="15" hidden="0" customHeight="1">
      <x:c r="A688" s="34" t="str">
        <x:v>STU0063</x:v>
      </x:c>
      <x:c r="B688" s="35" t="str">
        <x:v>CSE2ALG - Test</x:v>
      </x:c>
      <x:c r="C688" s="35" t="n">
        <x:v>97</x:v>
      </x:c>
      <x:c r="D688" s="36" t="str">
        <x:v>This excellent result demonstrates confident and independent command of the relevant learning themes, particularly overall objectives of Algorithms and Data Structures, identifying data structures and searching and sorting algorithms in computing contexts, and implementing data structures and searching and sorting algorithms in Java. The work is clear, accurate and well justified, with only minor opportunities to further polish explanation or evaluation.</x:v>
      </x:c>
      <x:c r="E688" s="36" t="str">
        <x:v>SILO1: overall objectives of Algorithms and Data Structures; SILO2: identifying data structures and searching and sorting algorithms in computing contexts; SILO3: implementing data structures and searching and sorting algorithms in Java</x:v>
      </x:c>
      <x:c r="F688" s="35" t="n">
        <x:v>0.2</x:v>
      </x:c>
      <x:c r="G688" s="37" t="n">
        <x:f>C688*F688</x:f>
        <x:v>19.400000000000002</x:v>
      </x:c>
    </x:row>
    <x:row r="689" ht="15" hidden="0" customHeight="1">
      <x:c r="A689" s="34" t="str">
        <x:v>STU0063</x:v>
      </x:c>
      <x:c r="B689" s="35" t="str">
        <x:v>CSE2ALG - Assignment</x:v>
      </x:c>
      <x:c r="C689" s="35" t="n">
        <x:v>94</x:v>
      </x:c>
      <x:c r="D689" s="36" t="str">
        <x:v>This excellent result demonstrates confident and independent command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The work is clear, accurate and well justified, with only minor opportunities to further polish explanation or evaluation.</x:v>
      </x:c>
      <x:c r="E689"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689" s="35" t="n">
        <x:v>0.3</x:v>
      </x:c>
      <x:c r="G689" s="37" t="n">
        <x:f>C689*F689</x:f>
        <x:v>28.2</x:v>
      </x:c>
    </x:row>
    <x:row r="690" ht="15" hidden="0" customHeight="1">
      <x:c r="A690" s="34" t="str">
        <x:v>STU0063</x:v>
      </x:c>
      <x:c r="B690" s="35" t="str">
        <x:v>CSE2ALG - Central examination</x:v>
      </x:c>
      <x:c r="C690" s="35" t="n">
        <x:v>94</x:v>
      </x:c>
      <x:c r="D690" s="36" t="str">
        <x:v>This excellent result demonstrates confident and independent command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The work is clear, accurate and well justified, with only minor opportunities to further polish explanation or evaluation.</x:v>
      </x:c>
      <x:c r="E690"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690" s="35" t="n">
        <x:v>0.5</x:v>
      </x:c>
      <x:c r="G690" s="37" t="n">
        <x:f>C690*F690</x:f>
        <x:v>47</x:v>
      </x:c>
    </x:row>
    <x:row r="691" ht="15" hidden="0" customHeight="1">
      <x:c r="A691" s="34" t="str">
        <x:v>STU0063</x:v>
      </x:c>
      <x:c r="B691" s="35" t="str">
        <x:v>CSE3CAP - Oral presentation: Project Milestone Presentation</x:v>
      </x:c>
      <x:c r="C691" s="35" t="n">
        <x:v>95</x:v>
      </x:c>
      <x:c r="D691" s="36" t="str">
        <x:v>This excellent result demonstrates confident and independent command of the relevant learning themes, particularly reporting project outcomes to technical and non-technical audiences and reflecting on feedback. The work is clear, accurate and well justified, with only minor opportunities to further polish explanation or evaluation.</x:v>
      </x:c>
      <x:c r="E691" s="36" t="str">
        <x:v>SILO3: reporting project outcomes to technical and non-technical audiences and reflecting on feedback</x:v>
      </x:c>
      <x:c r="F691" s="35" t="n">
        <x:v>0.1</x:v>
      </x:c>
      <x:c r="G691" s="37" t="n">
        <x:f>C691*F691</x:f>
        <x:v>9.5</x:v>
      </x:c>
    </x:row>
    <x:row r="692" ht="15" hidden="0" customHeight="1">
      <x:c r="A692" s="34" t="str">
        <x:v>STU0063</x:v>
      </x:c>
      <x:c r="B692" s="35" t="str">
        <x:v>CSE3CAP - Oral presentation: Final Project Presentation</x:v>
      </x:c>
      <x:c r="C692" s="35" t="n">
        <x:v>97</x:v>
      </x:c>
      <x:c r="D692" s="36" t="str">
        <x:v>This excellent result demonstrates confident and independent command of the relevant learning themes, particularly reporting project outcomes to technical and non-technical audiences and reflecting on feedback. The work is clear, accurate and well justified, with only minor opportunities to further polish explanation or evaluation.</x:v>
      </x:c>
      <x:c r="E692" s="36" t="str">
        <x:v>SILO3: reporting project outcomes to technical and non-technical audiences and reflecting on feedback</x:v>
      </x:c>
      <x:c r="F692" s="35" t="n">
        <x:v>0.2</x:v>
      </x:c>
      <x:c r="G692" s="37" t="n">
        <x:f>C692*F692</x:f>
        <x:v>19.400000000000002</x:v>
      </x:c>
    </x:row>
    <x:row r="693" ht="15" hidden="0" customHeight="1">
      <x:c r="A693" s="34" t="str">
        <x:v>STU0063</x:v>
      </x:c>
      <x:c r="B693" s="35" t="str">
        <x:v>CSE3CAP - Assignment: Final written Project Report</x:v>
      </x:c>
      <x:c r="C693" s="35" t="n">
        <x:v>91</x:v>
      </x:c>
      <x:c r="D693" s="36" t="str">
        <x:v>This excellent result demonstrates confident and independent command of the relevant learning themes, particularly industry standard technical solutions in software or cybersecurity practice and professional system documentation and advanced technical reporting to industry standards. The work is clear, accurate and well justified, with only minor opportunities to further polish explanation or evaluation.</x:v>
      </x:c>
      <x:c r="E693" s="36" t="str">
        <x:v>SILO2: industry standard technical solutions in software or cybersecurity practice; SILO4: professional system documentation and advanced technical reporting to industry standards</x:v>
      </x:c>
      <x:c r="F693" s="35" t="n">
        <x:v>0.35</x:v>
      </x:c>
      <x:c r="G693" s="37" t="n">
        <x:f>C693*F693</x:f>
        <x:v>31.849999999999998</x:v>
      </x:c>
    </x:row>
    <x:row r="694" ht="15" hidden="0" customHeight="1">
      <x:c r="A694" s="34" t="str">
        <x:v>STU0063</x:v>
      </x:c>
      <x:c r="B694" s="35" t="str">
        <x:v>CSE3CAP - Assignment: Sprint Project management reports</x:v>
      </x:c>
      <x:c r="C694" s="35" t="n">
        <x:v>95</x:v>
      </x:c>
      <x:c r="D694" s="36" t="str">
        <x:v>This excellent result demonstrates confident and independent command of the relevant learning themes, particularly advanced project management during substantive development implementation and industry standard technical solutions in software or cybersecurity practice. The work is clear, accurate and well justified, with only minor opportunities to further polish explanation or evaluation.</x:v>
      </x:c>
      <x:c r="E694" s="36" t="str">
        <x:v>SILO1: advanced project management during substantive development implementation; SILO2: industry standard technical solutions in software or cybersecurity practice</x:v>
      </x:c>
      <x:c r="F694" s="35" t="n">
        <x:v>0.35</x:v>
      </x:c>
      <x:c r="G694" s="37" t="n">
        <x:f>C694*F694</x:f>
        <x:v>33.25</x:v>
      </x:c>
    </x:row>
    <x:row r="695" ht="15" hidden="0" customHeight="1">
      <x:c r="A695" s="34" t="str">
        <x:v>STU0064</x:v>
      </x:c>
      <x:c r="B695" s="35" t="str">
        <x:v>CSE1OOF - Test</x:v>
      </x:c>
      <x:c r="C695" s="35" t="n">
        <x:v>55</x:v>
      </x:c>
      <x:c r="D695"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695" s="36" t="str">
        <x:v>SILO1: analysis/design/implementation compared with object-oriented modelling using objects that combine data structure and behaviour; SILO2: abstract data types and encapsulation to localise and minimise change</x:v>
      </x:c>
      <x:c r="F695" s="35" t="n">
        <x:v>0.15</x:v>
      </x:c>
      <x:c r="G695" s="37" t="n">
        <x:f>C695*F695</x:f>
        <x:v>8.25</x:v>
      </x:c>
    </x:row>
    <x:row r="696" ht="15" hidden="0" customHeight="1">
      <x:c r="A696" s="34" t="str">
        <x:v>STU0064</x:v>
      </x:c>
      <x:c r="B696" s="35" t="str">
        <x:v>CSE1OOF - Practical demonstration</x:v>
      </x:c>
      <x:c r="C696" s="35" t="n">
        <x:v>54</x:v>
      </x:c>
      <x:c r="D696"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696" s="36" t="str">
        <x:v>SILO2: abstract data types and encapsulation to localise and minimise change; SILO3: code sharing and reuse through object-oriented techniques to reduce development time; SILO4: object-oriented design and implementation of computer programs for real-life problems</x:v>
      </x:c>
      <x:c r="F696" s="35" t="n">
        <x:v>0.2</x:v>
      </x:c>
      <x:c r="G696" s="37" t="n">
        <x:f>C696*F696</x:f>
        <x:v>10.8</x:v>
      </x:c>
    </x:row>
    <x:row r="697" ht="15" hidden="0" customHeight="1">
      <x:c r="A697" s="34" t="str">
        <x:v>STU0064</x:v>
      </x:c>
      <x:c r="B697" s="35" t="str">
        <x:v>CSE1OOF - Assignment</x:v>
      </x:c>
      <x:c r="C697" s="35" t="n">
        <x:v>51</x:v>
      </x:c>
      <x:c r="D697"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697" s="36" t="str">
        <x:v>SILO2: abstract data types and encapsulation to localise and minimise change; SILO3: code sharing and reuse through object-oriented techniques to reduce development time; SILO4: object-oriented design and implementation of computer programs for real-life problems</x:v>
      </x:c>
      <x:c r="F697" s="35" t="n">
        <x:v>0.25</x:v>
      </x:c>
      <x:c r="G697" s="37" t="n">
        <x:f>C697*F697</x:f>
        <x:v>12.75</x:v>
      </x:c>
    </x:row>
    <x:row r="698" ht="15" hidden="0" customHeight="1">
      <x:c r="A698" s="34" t="str">
        <x:v>STU0064</x:v>
      </x:c>
      <x:c r="B698" s="35" t="str">
        <x:v>CSE1OOF - Central examination</x:v>
      </x:c>
      <x:c r="C698" s="35" t="n">
        <x:v>51</x:v>
      </x:c>
      <x:c r="D698" s="36" t="str">
        <x:v>This developing result meets the core requirements but needs greater consistency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Future work should focus on consolidating the underlying concepts, applying them more consistently and explaining design or implementation decisions with stronger evidence.</x:v>
      </x:c>
      <x:c r="E698"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698" s="35" t="n">
        <x:v>0.4</x:v>
      </x:c>
      <x:c r="G698" s="37" t="n">
        <x:f>C698*F698</x:f>
        <x:v>20.400000000000002</x:v>
      </x:c>
    </x:row>
    <x:row r="699" ht="15" hidden="0" customHeight="1">
      <x:c r="A699" s="34" t="str">
        <x:v>STU0064</x:v>
      </x:c>
      <x:c r="B699" s="35" t="str">
        <x:v>CSE2ALG - Test</x:v>
      </x:c>
      <x:c r="C699" s="35" t="n">
        <x:v>57</x:v>
      </x:c>
      <x:c r="D699"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699" s="36" t="str">
        <x:v>SILO1: overall objectives of Algorithms and Data Structures; SILO2: identifying data structures and searching and sorting algorithms in computing contexts; SILO3: implementing data structures and searching and sorting algorithms in Java</x:v>
      </x:c>
      <x:c r="F699" s="35" t="n">
        <x:v>0.2</x:v>
      </x:c>
      <x:c r="G699" s="37" t="n">
        <x:f>C699*F699</x:f>
        <x:v>11.4</x:v>
      </x:c>
    </x:row>
    <x:row r="700" ht="15" hidden="0" customHeight="1">
      <x:c r="A700" s="34" t="str">
        <x:v>STU0064</x:v>
      </x:c>
      <x:c r="B700" s="35" t="str">
        <x:v>CSE2ALG - Assignment</x:v>
      </x:c>
      <x:c r="C700" s="35" t="n">
        <x:v>55</x:v>
      </x:c>
      <x:c r="D700"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700"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700" s="35" t="n">
        <x:v>0.3</x:v>
      </x:c>
      <x:c r="G700" s="37" t="n">
        <x:f>C700*F700</x:f>
        <x:v>16.5</x:v>
      </x:c>
    </x:row>
    <x:row r="701" ht="15" hidden="0" customHeight="1">
      <x:c r="A701" s="34" t="str">
        <x:v>STU0064</x:v>
      </x:c>
      <x:c r="B701" s="35" t="str">
        <x:v>CSE2ALG - Central examination</x:v>
      </x:c>
      <x:c r="C701" s="35" t="n">
        <x:v>60</x:v>
      </x:c>
      <x:c r="D701" s="36" t="str">
        <x:v>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x:v>
      </x:c>
      <x:c r="E701"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701" s="35" t="n">
        <x:v>0.5</x:v>
      </x:c>
      <x:c r="G701" s="37" t="n">
        <x:f>C701*F701</x:f>
        <x:v>30</x:v>
      </x:c>
    </x:row>
    <x:row r="702" ht="15" hidden="0" customHeight="1">
      <x:c r="A702" s="34" t="str">
        <x:v>STU0064</x:v>
      </x:c>
      <x:c r="B702" s="35" t="str">
        <x:v>CSE3CAP - Oral presentation: Project Milestone Presentation</x:v>
      </x:c>
      <x:c r="C702" s="35" t="n">
        <x:v>56</x:v>
      </x:c>
      <x:c r="D702"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702" s="36" t="str">
        <x:v>SILO3: reporting project outcomes to technical and non-technical audiences and reflecting on feedback</x:v>
      </x:c>
      <x:c r="F702" s="35" t="n">
        <x:v>0.1</x:v>
      </x:c>
      <x:c r="G702" s="37" t="n">
        <x:f>C702*F702</x:f>
        <x:v>5.6000000000000005</x:v>
      </x:c>
    </x:row>
    <x:row r="703" ht="15" hidden="0" customHeight="1">
      <x:c r="A703" s="34" t="str">
        <x:v>STU0064</x:v>
      </x:c>
      <x:c r="B703" s="35" t="str">
        <x:v>CSE3CAP - Oral presentation: Final Project Presentation</x:v>
      </x:c>
      <x:c r="C703" s="35" t="n">
        <x:v>52</x:v>
      </x:c>
      <x:c r="D703"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703" s="36" t="str">
        <x:v>SILO3: reporting project outcomes to technical and non-technical audiences and reflecting on feedback</x:v>
      </x:c>
      <x:c r="F703" s="35" t="n">
        <x:v>0.2</x:v>
      </x:c>
      <x:c r="G703" s="37" t="n">
        <x:f>C703*F703</x:f>
        <x:v>10.4</x:v>
      </x:c>
    </x:row>
    <x:row r="704" ht="15" hidden="0" customHeight="1">
      <x:c r="A704" s="34" t="str">
        <x:v>STU0064</x:v>
      </x:c>
      <x:c r="B704" s="35" t="str">
        <x:v>CSE3CAP - Assignment: Final written Project Report</x:v>
      </x:c>
      <x:c r="C704" s="35" t="n">
        <x:v>55</x:v>
      </x:c>
      <x:c r="D704"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704" s="36" t="str">
        <x:v>SILO2: industry standard technical solutions in software or cybersecurity practice; SILO4: professional system documentation and advanced technical reporting to industry standards</x:v>
      </x:c>
      <x:c r="F704" s="35" t="n">
        <x:v>0.35</x:v>
      </x:c>
      <x:c r="G704" s="37" t="n">
        <x:f>C704*F704</x:f>
        <x:v>19.25</x:v>
      </x:c>
    </x:row>
    <x:row r="705" ht="15" hidden="0" customHeight="1">
      <x:c r="A705" s="34" t="str">
        <x:v>STU0064</x:v>
      </x:c>
      <x:c r="B705" s="35" t="str">
        <x:v>CSE3CAP - Assignment: Sprint Project management reports</x:v>
      </x:c>
      <x:c r="C705" s="35" t="n">
        <x:v>53</x:v>
      </x:c>
      <x:c r="D705"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705" s="36" t="str">
        <x:v>SILO1: advanced project management during substantive development implementation; SILO2: industry standard technical solutions in software or cybersecurity practice</x:v>
      </x:c>
      <x:c r="F705" s="35" t="n">
        <x:v>0.35</x:v>
      </x:c>
      <x:c r="G705" s="37" t="n">
        <x:f>C705*F705</x:f>
        <x:v>18.549999999999997</x:v>
      </x:c>
    </x:row>
    <x:row r="706" ht="15" hidden="0" customHeight="1">
      <x:c r="A706" s="34" t="str">
        <x:v>STU0065</x:v>
      </x:c>
      <x:c r="B706" s="35" t="str">
        <x:v>CSE1OOF - Test</x:v>
      </x:c>
      <x:c r="C706" s="35" t="n">
        <x:v>65</x:v>
      </x:c>
      <x:c r="D706"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706" s="36" t="str">
        <x:v>SILO1: analysis/design/implementation compared with object-oriented modelling using objects that combine data structure and behaviour; SILO2: abstract data types and encapsulation to localise and minimise change</x:v>
      </x:c>
      <x:c r="F706" s="35" t="n">
        <x:v>0.15</x:v>
      </x:c>
      <x:c r="G706" s="37" t="n">
        <x:f>C706*F706</x:f>
        <x:v>9.75</x:v>
      </x:c>
    </x:row>
    <x:row r="707" ht="15" hidden="0" customHeight="1">
      <x:c r="A707" s="34" t="str">
        <x:v>STU0065</x:v>
      </x:c>
      <x:c r="B707" s="35" t="str">
        <x:v>CSE1OOF - Practical demonstration</x:v>
      </x:c>
      <x:c r="C707" s="35" t="n">
        <x:v>65</x:v>
      </x:c>
      <x:c r="D707"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707" s="36" t="str">
        <x:v>SILO2: abstract data types and encapsulation to localise and minimise change; SILO3: code sharing and reuse through object-oriented techniques to reduce development time; SILO4: object-oriented design and implementation of computer programs for real-life problems</x:v>
      </x:c>
      <x:c r="F707" s="35" t="n">
        <x:v>0.2</x:v>
      </x:c>
      <x:c r="G707" s="37" t="n">
        <x:f>C707*F707</x:f>
        <x:v>13</x:v>
      </x:c>
    </x:row>
    <x:row r="708" ht="15" hidden="0" customHeight="1">
      <x:c r="A708" s="34" t="str">
        <x:v>STU0065</x:v>
      </x:c>
      <x:c r="B708" s="35" t="str">
        <x:v>CSE1OOF - Assignment</x:v>
      </x:c>
      <x:c r="C708" s="35" t="n">
        <x:v>68</x:v>
      </x:c>
      <x:c r="D708"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708" s="36" t="str">
        <x:v>SILO2: abstract data types and encapsulation to localise and minimise change; SILO3: code sharing and reuse through object-oriented techniques to reduce development time; SILO4: object-oriented design and implementation of computer programs for real-life problems</x:v>
      </x:c>
      <x:c r="F708" s="35" t="n">
        <x:v>0.25</x:v>
      </x:c>
      <x:c r="G708" s="37" t="n">
        <x:f>C708*F708</x:f>
        <x:v>17</x:v>
      </x:c>
    </x:row>
    <x:row r="709" ht="15" hidden="0" customHeight="1">
      <x:c r="A709" s="34" t="str">
        <x:v>STU0065</x:v>
      </x:c>
      <x:c r="B709" s="35" t="str">
        <x:v>CSE1OOF - Central examination</x:v>
      </x:c>
      <x:c r="C709" s="35" t="n">
        <x:v>67</x:v>
      </x:c>
      <x:c r="D709"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709"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709" s="35" t="n">
        <x:v>0.4</x:v>
      </x:c>
      <x:c r="G709" s="37" t="n">
        <x:f>C709*F709</x:f>
        <x:v>26.8</x:v>
      </x:c>
    </x:row>
    <x:row r="710" ht="15" hidden="0" customHeight="1">
      <x:c r="A710" s="34" t="str">
        <x:v>STU0065</x:v>
      </x:c>
      <x:c r="B710" s="35" t="str">
        <x:v>CSE2ALG - Test</x:v>
      </x:c>
      <x:c r="C710" s="35" t="n">
        <x:v>65</x:v>
      </x:c>
      <x:c r="D710"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710" s="36" t="str">
        <x:v>SILO1: overall objectives of Algorithms and Data Structures; SILO2: identifying data structures and searching and sorting algorithms in computing contexts; SILO3: implementing data structures and searching and sorting algorithms in Java</x:v>
      </x:c>
      <x:c r="F710" s="35" t="n">
        <x:v>0.2</x:v>
      </x:c>
      <x:c r="G710" s="37" t="n">
        <x:f>C710*F710</x:f>
        <x:v>13</x:v>
      </x:c>
    </x:row>
    <x:row r="711" ht="15" hidden="0" customHeight="1">
      <x:c r="A711" s="34" t="str">
        <x:v>STU0065</x:v>
      </x:c>
      <x:c r="B711" s="35" t="str">
        <x:v>CSE2ALG - Assignment</x:v>
      </x:c>
      <x:c r="C711" s="35" t="n">
        <x:v>64</x:v>
      </x:c>
      <x:c r="D711"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711"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711" s="35" t="n">
        <x:v>0.3</x:v>
      </x:c>
      <x:c r="G711" s="37" t="n">
        <x:f>C711*F711</x:f>
        <x:v>19.2</x:v>
      </x:c>
    </x:row>
    <x:row r="712" ht="15" hidden="0" customHeight="1">
      <x:c r="A712" s="34" t="str">
        <x:v>STU0065</x:v>
      </x:c>
      <x:c r="B712" s="35" t="str">
        <x:v>CSE2ALG - Central examination</x:v>
      </x:c>
      <x:c r="C712" s="35" t="n">
        <x:v>65</x:v>
      </x:c>
      <x:c r="D712"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712"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712" s="35" t="n">
        <x:v>0.5</x:v>
      </x:c>
      <x:c r="G712" s="37" t="n">
        <x:f>C712*F712</x:f>
        <x:v>32.5</x:v>
      </x:c>
    </x:row>
    <x:row r="713" ht="15" hidden="0" customHeight="1">
      <x:c r="A713" s="34" t="str">
        <x:v>STU0065</x:v>
      </x:c>
      <x:c r="B713" s="35" t="str">
        <x:v>CSE3CAP - Oral presentation: Project Milestone Presentation</x:v>
      </x:c>
      <x:c r="C713" s="35" t="n">
        <x:v>65</x:v>
      </x:c>
      <x:c r="D713"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713" s="36" t="str">
        <x:v>SILO3: reporting project outcomes to technical and non-technical audiences and reflecting on feedback</x:v>
      </x:c>
      <x:c r="F713" s="35" t="n">
        <x:v>0.1</x:v>
      </x:c>
      <x:c r="G713" s="37" t="n">
        <x:f>C713*F713</x:f>
        <x:v>6.5</x:v>
      </x:c>
    </x:row>
    <x:row r="714" ht="15" hidden="0" customHeight="1">
      <x:c r="A714" s="34" t="str">
        <x:v>STU0065</x:v>
      </x:c>
      <x:c r="B714" s="35" t="str">
        <x:v>CSE3CAP - Oral presentation: Final Project Presentation</x:v>
      </x:c>
      <x:c r="C714" s="35" t="n">
        <x:v>63</x:v>
      </x:c>
      <x:c r="D714"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714" s="36" t="str">
        <x:v>SILO3: reporting project outcomes to technical and non-technical audiences and reflecting on feedback</x:v>
      </x:c>
      <x:c r="F714" s="35" t="n">
        <x:v>0.2</x:v>
      </x:c>
      <x:c r="G714" s="37" t="n">
        <x:f>C714*F714</x:f>
        <x:v>12.600000000000001</x:v>
      </x:c>
    </x:row>
    <x:row r="715" ht="15" hidden="0" customHeight="1">
      <x:c r="A715" s="34" t="str">
        <x:v>STU0065</x:v>
      </x:c>
      <x:c r="B715" s="35" t="str">
        <x:v>CSE3CAP - Assignment: Final written Project Report</x:v>
      </x:c>
      <x:c r="C715" s="35" t="n">
        <x:v>61</x:v>
      </x:c>
      <x:c r="D715"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715" s="36" t="str">
        <x:v>SILO2: industry standard technical solutions in software or cybersecurity practice; SILO4: professional system documentation and advanced technical reporting to industry standards</x:v>
      </x:c>
      <x:c r="F715" s="35" t="n">
        <x:v>0.35</x:v>
      </x:c>
      <x:c r="G715" s="37" t="n">
        <x:f>C715*F715</x:f>
        <x:v>21.349999999999998</x:v>
      </x:c>
    </x:row>
    <x:row r="716" ht="15" hidden="0" customHeight="1">
      <x:c r="A716" s="34" t="str">
        <x:v>STU0065</x:v>
      </x:c>
      <x:c r="B716" s="35" t="str">
        <x:v>CSE3CAP - Assignment: Sprint Project management reports</x:v>
      </x:c>
      <x:c r="C716" s="35" t="n">
        <x:v>61</x:v>
      </x:c>
      <x:c r="D716"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716" s="36" t="str">
        <x:v>SILO1: advanced project management during substantive development implementation; SILO2: industry standard technical solutions in software or cybersecurity practice</x:v>
      </x:c>
      <x:c r="F716" s="35" t="n">
        <x:v>0.35</x:v>
      </x:c>
      <x:c r="G716" s="37" t="n">
        <x:f>C716*F716</x:f>
        <x:v>21.349999999999998</x:v>
      </x:c>
    </x:row>
    <x:row r="717" ht="15" hidden="0" customHeight="1">
      <x:c r="A717" s="34" t="str">
        <x:v>STU0066</x:v>
      </x:c>
      <x:c r="B717" s="35" t="str">
        <x:v>CSE1OOF - Test</x:v>
      </x:c>
      <x:c r="C717" s="35" t="n">
        <x:v>56</x:v>
      </x:c>
      <x:c r="D717"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717" s="36" t="str">
        <x:v>SILO1: analysis/design/implementation compared with object-oriented modelling using objects that combine data structure and behaviour; SILO2: abstract data types and encapsulation to localise and minimise change</x:v>
      </x:c>
      <x:c r="F717" s="35" t="n">
        <x:v>0.15</x:v>
      </x:c>
      <x:c r="G717" s="37" t="n">
        <x:f>C717*F717</x:f>
        <x:v>8.4</x:v>
      </x:c>
    </x:row>
    <x:row r="718" ht="15" hidden="0" customHeight="1">
      <x:c r="A718" s="34" t="str">
        <x:v>STU0066</x:v>
      </x:c>
      <x:c r="B718" s="35" t="str">
        <x:v>CSE1OOF - Practical demonstration</x:v>
      </x:c>
      <x:c r="C718" s="35" t="n">
        <x:v>59</x:v>
      </x:c>
      <x:c r="D718"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718" s="36" t="str">
        <x:v>SILO2: abstract data types and encapsulation to localise and minimise change; SILO3: code sharing and reuse through object-oriented techniques to reduce development time; SILO4: object-oriented design and implementation of computer programs for real-life problems</x:v>
      </x:c>
      <x:c r="F718" s="35" t="n">
        <x:v>0.2</x:v>
      </x:c>
      <x:c r="G718" s="37" t="n">
        <x:f>C718*F718</x:f>
        <x:v>11.8</x:v>
      </x:c>
    </x:row>
    <x:row r="719" ht="15" hidden="0" customHeight="1">
      <x:c r="A719" s="34" t="str">
        <x:v>STU0066</x:v>
      </x:c>
      <x:c r="B719" s="35" t="str">
        <x:v>CSE1OOF - Assignment</x:v>
      </x:c>
      <x:c r="C719" s="35" t="n">
        <x:v>57</x:v>
      </x:c>
      <x:c r="D719"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719" s="36" t="str">
        <x:v>SILO2: abstract data types and encapsulation to localise and minimise change; SILO3: code sharing and reuse through object-oriented techniques to reduce development time; SILO4: object-oriented design and implementation of computer programs for real-life problems</x:v>
      </x:c>
      <x:c r="F719" s="35" t="n">
        <x:v>0.25</x:v>
      </x:c>
      <x:c r="G719" s="37" t="n">
        <x:f>C719*F719</x:f>
        <x:v>14.25</x:v>
      </x:c>
    </x:row>
    <x:row r="720" ht="15" hidden="0" customHeight="1">
      <x:c r="A720" s="34" t="str">
        <x:v>STU0066</x:v>
      </x:c>
      <x:c r="B720" s="35" t="str">
        <x:v>CSE1OOF - Central examination</x:v>
      </x:c>
      <x:c r="C720" s="35" t="n">
        <x:v>56</x:v>
      </x:c>
      <x:c r="D720" s="36" t="str">
        <x:v>This developing result meets the core requirements but needs greater consistency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Future work should focus on consolidating the underlying concepts, applying them more consistently and explaining design or implementation decisions with stronger evidence.</x:v>
      </x:c>
      <x:c r="E720"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720" s="35" t="n">
        <x:v>0.4</x:v>
      </x:c>
      <x:c r="G720" s="37" t="n">
        <x:f>C720*F720</x:f>
        <x:v>22.400000000000002</x:v>
      </x:c>
    </x:row>
    <x:row r="721" ht="15" hidden="0" customHeight="1">
      <x:c r="A721" s="34" t="str">
        <x:v>STU0066</x:v>
      </x:c>
      <x:c r="B721" s="35" t="str">
        <x:v>CSE2ALG - Test</x:v>
      </x:c>
      <x:c r="C721" s="35" t="n">
        <x:v>56</x:v>
      </x:c>
      <x:c r="D721"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721" s="36" t="str">
        <x:v>SILO1: overall objectives of Algorithms and Data Structures; SILO2: identifying data structures and searching and sorting algorithms in computing contexts; SILO3: implementing data structures and searching and sorting algorithms in Java</x:v>
      </x:c>
      <x:c r="F721" s="35" t="n">
        <x:v>0.2</x:v>
      </x:c>
      <x:c r="G721" s="37" t="n">
        <x:f>C721*F721</x:f>
        <x:v>11.200000000000001</x:v>
      </x:c>
    </x:row>
    <x:row r="722" ht="15" hidden="0" customHeight="1">
      <x:c r="A722" s="34" t="str">
        <x:v>STU0066</x:v>
      </x:c>
      <x:c r="B722" s="35" t="str">
        <x:v>CSE2ALG - Assignment</x:v>
      </x:c>
      <x:c r="C722" s="35" t="n">
        <x:v>59</x:v>
      </x:c>
      <x:c r="D722"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722"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722" s="35" t="n">
        <x:v>0.3</x:v>
      </x:c>
      <x:c r="G722" s="37" t="n">
        <x:f>C722*F722</x:f>
        <x:v>17.7</x:v>
      </x:c>
    </x:row>
    <x:row r="723" ht="15" hidden="0" customHeight="1">
      <x:c r="A723" s="34" t="str">
        <x:v>STU0066</x:v>
      </x:c>
      <x:c r="B723" s="35" t="str">
        <x:v>CSE2ALG - Central examination</x:v>
      </x:c>
      <x:c r="C723" s="35" t="n">
        <x:v>58</x:v>
      </x:c>
      <x:c r="D723" s="36" t="str">
        <x:v>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x:v>
      </x:c>
      <x:c r="E723"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723" s="35" t="n">
        <x:v>0.5</x:v>
      </x:c>
      <x:c r="G723" s="37" t="n">
        <x:f>C723*F723</x:f>
        <x:v>29</x:v>
      </x:c>
    </x:row>
    <x:row r="724" ht="15" hidden="0" customHeight="1">
      <x:c r="A724" s="34" t="str">
        <x:v>STU0066</x:v>
      </x:c>
      <x:c r="B724" s="35" t="str">
        <x:v>CSE3CAP - Oral presentation: Project Milestone Presentation</x:v>
      </x:c>
      <x:c r="C724" s="35" t="n">
        <x:v>54</x:v>
      </x:c>
      <x:c r="D724"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724" s="36" t="str">
        <x:v>SILO3: reporting project outcomes to technical and non-technical audiences and reflecting on feedback</x:v>
      </x:c>
      <x:c r="F724" s="35" t="n">
        <x:v>0.1</x:v>
      </x:c>
      <x:c r="G724" s="37" t="n">
        <x:f>C724*F724</x:f>
        <x:v>5.4</x:v>
      </x:c>
    </x:row>
    <x:row r="725" ht="15" hidden="0" customHeight="1">
      <x:c r="A725" s="34" t="str">
        <x:v>STU0066</x:v>
      </x:c>
      <x:c r="B725" s="35" t="str">
        <x:v>CSE3CAP - Oral presentation: Final Project Presentation</x:v>
      </x:c>
      <x:c r="C725" s="35" t="n">
        <x:v>52</x:v>
      </x:c>
      <x:c r="D725"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725" s="36" t="str">
        <x:v>SILO3: reporting project outcomes to technical and non-technical audiences and reflecting on feedback</x:v>
      </x:c>
      <x:c r="F725" s="35" t="n">
        <x:v>0.2</x:v>
      </x:c>
      <x:c r="G725" s="37" t="n">
        <x:f>C725*F725</x:f>
        <x:v>10.4</x:v>
      </x:c>
    </x:row>
    <x:row r="726" ht="15" hidden="0" customHeight="1">
      <x:c r="A726" s="34" t="str">
        <x:v>STU0066</x:v>
      </x:c>
      <x:c r="B726" s="35" t="str">
        <x:v>CSE3CAP - Assignment: Final written Project Report</x:v>
      </x:c>
      <x:c r="C726" s="35" t="n">
        <x:v>58</x:v>
      </x:c>
      <x:c r="D726"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726" s="36" t="str">
        <x:v>SILO2: industry standard technical solutions in software or cybersecurity practice; SILO4: professional system documentation and advanced technical reporting to industry standards</x:v>
      </x:c>
      <x:c r="F726" s="35" t="n">
        <x:v>0.35</x:v>
      </x:c>
      <x:c r="G726" s="37" t="n">
        <x:f>C726*F726</x:f>
        <x:v>20.299999999999997</x:v>
      </x:c>
    </x:row>
    <x:row r="727" ht="15" hidden="0" customHeight="1">
      <x:c r="A727" s="34" t="str">
        <x:v>STU0066</x:v>
      </x:c>
      <x:c r="B727" s="35" t="str">
        <x:v>CSE3CAP - Assignment: Sprint Project management reports</x:v>
      </x:c>
      <x:c r="C727" s="35" t="n">
        <x:v>52</x:v>
      </x:c>
      <x:c r="D727"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727" s="36" t="str">
        <x:v>SILO1: advanced project management during substantive development implementation; SILO2: industry standard technical solutions in software or cybersecurity practice</x:v>
      </x:c>
      <x:c r="F727" s="35" t="n">
        <x:v>0.35</x:v>
      </x:c>
      <x:c r="G727" s="37" t="n">
        <x:f>C727*F727</x:f>
        <x:v>18.2</x:v>
      </x:c>
    </x:row>
    <x:row r="728" ht="15" hidden="0" customHeight="1">
      <x:c r="A728" s="34" t="str">
        <x:v>STU0067</x:v>
      </x:c>
      <x:c r="B728" s="35" t="str">
        <x:v>CSE1OOF - Test</x:v>
      </x:c>
      <x:c r="C728" s="35" t="n">
        <x:v>44</x:v>
      </x:c>
      <x:c r="D728" s="36" t="str">
        <x:v>This limited result shows gaps that require targeted revision of the relevant learning themes, particularly analysis/design/implementation compared with object-oriented modelling using objects that combine data structure and behaviour and abstract data types and encapsulation to localise and minimise change. The student should revisit the core concepts, seek feedback early and practise applying the techniques in smaller, well-tested examples before attempting the full assessment task.</x:v>
      </x:c>
      <x:c r="E728" s="36" t="str">
        <x:v>SILO1: analysis/design/implementation compared with object-oriented modelling using objects that combine data structure and behaviour; SILO2: abstract data types and encapsulation to localise and minimise change</x:v>
      </x:c>
      <x:c r="F728" s="35" t="n">
        <x:v>0.15</x:v>
      </x:c>
      <x:c r="G728" s="37" t="n">
        <x:f>C728*F728</x:f>
        <x:v>6.6</x:v>
      </x:c>
    </x:row>
    <x:row r="729" ht="15" hidden="0" customHeight="1">
      <x:c r="A729" s="34" t="str">
        <x:v>STU0067</x:v>
      </x:c>
      <x:c r="B729" s="35" t="str">
        <x:v>CSE1OOF - Practical demonstration</x:v>
      </x:c>
      <x:c r="C729" s="35" t="n">
        <x:v>39</x:v>
      </x:c>
      <x:c r="D729" s="36" t="str">
        <x:v>This limited result shows gaps that require targeted revision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student should revisit the core concepts, seek feedback early and practise applying the techniques in smaller, well-tested examples before attempting the full assessment task.</x:v>
      </x:c>
      <x:c r="E729" s="36" t="str">
        <x:v>SILO2: abstract data types and encapsulation to localise and minimise change; SILO3: code sharing and reuse through object-oriented techniques to reduce development time; SILO4: object-oriented design and implementation of computer programs for real-life problems</x:v>
      </x:c>
      <x:c r="F729" s="35" t="n">
        <x:v>0.2</x:v>
      </x:c>
      <x:c r="G729" s="37" t="n">
        <x:f>C729*F729</x:f>
        <x:v>7.800000000000001</x:v>
      </x:c>
    </x:row>
    <x:row r="730" ht="15" hidden="0" customHeight="1">
      <x:c r="A730" s="34" t="str">
        <x:v>STU0067</x:v>
      </x:c>
      <x:c r="B730" s="35" t="str">
        <x:v>CSE1OOF - Assignment</x:v>
      </x:c>
      <x:c r="C730" s="35" t="n">
        <x:v>44</x:v>
      </x:c>
      <x:c r="D730" s="36" t="str">
        <x:v>This limited result shows gaps that require targeted revision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student should revisit the core concepts, seek feedback early and practise applying the techniques in smaller, well-tested examples before attempting the full assessment task.</x:v>
      </x:c>
      <x:c r="E730" s="36" t="str">
        <x:v>SILO2: abstract data types and encapsulation to localise and minimise change; SILO3: code sharing and reuse through object-oriented techniques to reduce development time; SILO4: object-oriented design and implementation of computer programs for real-life problems</x:v>
      </x:c>
      <x:c r="F730" s="35" t="n">
        <x:v>0.25</x:v>
      </x:c>
      <x:c r="G730" s="37" t="n">
        <x:f>C730*F730</x:f>
        <x:v>11</x:v>
      </x:c>
    </x:row>
    <x:row r="731" ht="15" hidden="0" customHeight="1">
      <x:c r="A731" s="34" t="str">
        <x:v>STU0067</x:v>
      </x:c>
      <x:c r="B731" s="35" t="str">
        <x:v>CSE1OOF - Central examination</x:v>
      </x:c>
      <x:c r="C731" s="35" t="n">
        <x:v>43</x:v>
      </x:c>
      <x:c r="D731" s="36" t="str">
        <x:v>This limited result shows gaps that require targeted revision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The student should revisit the core concepts, seek feedback early and practise applying the techniques in smaller, well-tested examples before attempting the full assessment task.</x:v>
      </x:c>
      <x:c r="E731"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731" s="35" t="n">
        <x:v>0.4</x:v>
      </x:c>
      <x:c r="G731" s="37" t="n">
        <x:f>C731*F731</x:f>
        <x:v>17.2</x:v>
      </x:c>
    </x:row>
    <x:row r="732" ht="15" hidden="0" customHeight="1">
      <x:c r="A732" s="34" t="str">
        <x:v>STU0067</x:v>
      </x:c>
      <x:c r="B732" s="35" t="str">
        <x:v>CSE2ALG - Test</x:v>
      </x:c>
      <x:c r="C732" s="35" t="n">
        <x:v>40</x:v>
      </x:c>
      <x:c r="D732" s="36" t="str">
        <x:v>This limited result shows gaps that require targeted revision of the relevant learning themes, particularly overall objectives of Algorithms and Data Structures, identifying data structures and searching and sorting algorithms in computing contexts, and implementing data structures and searching and sorting algorithms in Java. The student should revisit the core concepts, seek feedback early and practise applying the techniques in smaller, well-tested examples before attempting the full assessment task.</x:v>
      </x:c>
      <x:c r="E732" s="36" t="str">
        <x:v>SILO1: overall objectives of Algorithms and Data Structures; SILO2: identifying data structures and searching and sorting algorithms in computing contexts; SILO3: implementing data structures and searching and sorting algorithms in Java</x:v>
      </x:c>
      <x:c r="F732" s="35" t="n">
        <x:v>0.2</x:v>
      </x:c>
      <x:c r="G732" s="37" t="n">
        <x:f>C732*F732</x:f>
        <x:v>8</x:v>
      </x:c>
    </x:row>
    <x:row r="733" ht="15" hidden="0" customHeight="1">
      <x:c r="A733" s="34" t="str">
        <x:v>STU0067</x:v>
      </x:c>
      <x:c r="B733" s="35" t="str">
        <x:v>CSE2ALG - Assignment</x:v>
      </x:c>
      <x:c r="C733" s="35" t="n">
        <x:v>42</x:v>
      </x:c>
      <x:c r="D733" s="36" t="str">
        <x:v>This limited result shows gaps that require targeted revision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The student should revisit the core concepts, seek feedback early and practise applying the techniques in smaller, well-tested examples before attempting the full assessment task.</x:v>
      </x:c>
      <x:c r="E733"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733" s="35" t="n">
        <x:v>0.3</x:v>
      </x:c>
      <x:c r="G733" s="37" t="n">
        <x:f>C733*F733</x:f>
        <x:v>12.6</x:v>
      </x:c>
    </x:row>
    <x:row r="734" ht="15" hidden="0" customHeight="1">
      <x:c r="A734" s="34" t="str">
        <x:v>STU0067</x:v>
      </x:c>
      <x:c r="B734" s="35" t="str">
        <x:v>CSE2ALG - Central examination</x:v>
      </x:c>
      <x:c r="C734" s="35" t="n">
        <x:v>38</x:v>
      </x:c>
      <x:c r="D734" s="36" t="str">
        <x:v>This limited result shows gaps that require targeted revision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The student should revisit the core concepts, seek feedback early and practise applying the techniques in smaller, well-tested examples before attempting the full assessment task.</x:v>
      </x:c>
      <x:c r="E734"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734" s="35" t="n">
        <x:v>0.5</x:v>
      </x:c>
      <x:c r="G734" s="37" t="n">
        <x:f>C734*F734</x:f>
        <x:v>19</x:v>
      </x:c>
    </x:row>
    <x:row r="735" ht="15" hidden="0" customHeight="1">
      <x:c r="A735" s="34" t="str">
        <x:v>STU0067</x:v>
      </x:c>
      <x:c r="B735" s="35" t="str">
        <x:v>CSE3CAP - Oral presentation: Project Milestone Presentation</x:v>
      </x:c>
      <x:c r="C735" s="35" t="n">
        <x:v>48</x:v>
      </x:c>
      <x:c r="D735" s="36" t="str">
        <x:v>This limited result shows gaps that require targeted revision of the relevant learning themes, particularly reporting project outcomes to technical and non-technical audiences and reflecting on feedback. The student should revisit the core concepts, seek feedback early and practise applying the techniques in smaller, well-tested examples before attempting the full assessment task.</x:v>
      </x:c>
      <x:c r="E735" s="36" t="str">
        <x:v>SILO3: reporting project outcomes to technical and non-technical audiences and reflecting on feedback</x:v>
      </x:c>
      <x:c r="F735" s="35" t="n">
        <x:v>0.1</x:v>
      </x:c>
      <x:c r="G735" s="37" t="n">
        <x:f>C735*F735</x:f>
        <x:v>4.800000000000001</x:v>
      </x:c>
    </x:row>
    <x:row r="736" ht="15" hidden="0" customHeight="1">
      <x:c r="A736" s="34" t="str">
        <x:v>STU0067</x:v>
      </x:c>
      <x:c r="B736" s="35" t="str">
        <x:v>CSE3CAP - Oral presentation: Final Project Presentation</x:v>
      </x:c>
      <x:c r="C736" s="35" t="n">
        <x:v>44</x:v>
      </x:c>
      <x:c r="D736" s="36" t="str">
        <x:v>This limited result shows gaps that require targeted revision of the relevant learning themes, particularly reporting project outcomes to technical and non-technical audiences and reflecting on feedback. The student should revisit the core concepts, seek feedback early and practise applying the techniques in smaller, well-tested examples before attempting the full assessment task.</x:v>
      </x:c>
      <x:c r="E736" s="36" t="str">
        <x:v>SILO3: reporting project outcomes to technical and non-technical audiences and reflecting on feedback</x:v>
      </x:c>
      <x:c r="F736" s="35" t="n">
        <x:v>0.2</x:v>
      </x:c>
      <x:c r="G736" s="37" t="n">
        <x:f>C736*F736</x:f>
        <x:v>8.8</x:v>
      </x:c>
    </x:row>
    <x:row r="737" ht="15" hidden="0" customHeight="1">
      <x:c r="A737" s="34" t="str">
        <x:v>STU0067</x:v>
      </x:c>
      <x:c r="B737" s="35" t="str">
        <x:v>CSE3CAP - Assignment: Final written Project Report</x:v>
      </x:c>
      <x:c r="C737" s="35" t="n">
        <x:v>47</x:v>
      </x:c>
      <x:c r="D737" s="36" t="str">
        <x:v>This limited result shows gaps that require targeted revision of the relevant learning themes, particularly industry standard technical solutions in software or cybersecurity practice and professional system documentation and advanced technical reporting to industry standards. The student should revisit the core concepts, seek feedback early and practise applying the techniques in smaller, well-tested examples before attempting the full assessment task.</x:v>
      </x:c>
      <x:c r="E737" s="36" t="str">
        <x:v>SILO2: industry standard technical solutions in software or cybersecurity practice; SILO4: professional system documentation and advanced technical reporting to industry standards</x:v>
      </x:c>
      <x:c r="F737" s="35" t="n">
        <x:v>0.35</x:v>
      </x:c>
      <x:c r="G737" s="37" t="n">
        <x:f>C737*F737</x:f>
        <x:v>16.45</x:v>
      </x:c>
    </x:row>
    <x:row r="738" ht="15" hidden="0" customHeight="1">
      <x:c r="A738" s="34" t="str">
        <x:v>STU0067</x:v>
      </x:c>
      <x:c r="B738" s="35" t="str">
        <x:v>CSE3CAP - Assignment: Sprint Project management reports</x:v>
      </x:c>
      <x:c r="C738" s="35" t="n">
        <x:v>45</x:v>
      </x:c>
      <x:c r="D738" s="36" t="str">
        <x:v>This limited result shows gaps that require targeted revision of the relevant learning themes, particularly advanced project management during substantive development implementation and industry standard technical solutions in software or cybersecurity practice. The student should revisit the core concepts, seek feedback early and practise applying the techniques in smaller, well-tested examples before attempting the full assessment task.</x:v>
      </x:c>
      <x:c r="E738" s="36" t="str">
        <x:v>SILO1: advanced project management during substantive development implementation; SILO2: industry standard technical solutions in software or cybersecurity practice</x:v>
      </x:c>
      <x:c r="F738" s="35" t="n">
        <x:v>0.35</x:v>
      </x:c>
      <x:c r="G738" s="37" t="n">
        <x:f>C738*F738</x:f>
        <x:v>15.749999999999998</x:v>
      </x:c>
    </x:row>
    <x:row r="739" ht="15" hidden="0" customHeight="1">
      <x:c r="A739" s="34" t="str">
        <x:v>STU0068</x:v>
      </x:c>
      <x:c r="B739" s="35" t="str">
        <x:v>CSE1OOF - Test</x:v>
      </x:c>
      <x:c r="C739" s="35" t="n">
        <x:v>80</x:v>
      </x:c>
      <x:c r="D739" s="36" t="str">
        <x:v>This strong result shows well-developed understanding of the relevant learning themes, particularly analysis/design/implementation compared with object-oriented modelling using objects that combine data structure and behaviour and abstract data types and encapsulation to localise and minimise change. Further improvement would come from deeper justification, more consistent evaluation evidence and tighter links between decisions and implementation details.</x:v>
      </x:c>
      <x:c r="E739" s="36" t="str">
        <x:v>SILO1: analysis/design/implementation compared with object-oriented modelling using objects that combine data structure and behaviour; SILO2: abstract data types and encapsulation to localise and minimise change</x:v>
      </x:c>
      <x:c r="F739" s="35" t="n">
        <x:v>0.15</x:v>
      </x:c>
      <x:c r="G739" s="37" t="n">
        <x:f>C739*F739</x:f>
        <x:v>12</x:v>
      </x:c>
    </x:row>
    <x:row r="740" ht="15" hidden="0" customHeight="1">
      <x:c r="A740" s="34" t="str">
        <x:v>STU0068</x:v>
      </x:c>
      <x:c r="B740" s="35" t="str">
        <x:v>CSE1OOF - Practical demonstration</x:v>
      </x:c>
      <x:c r="C740" s="35" t="n">
        <x:v>80</x:v>
      </x:c>
      <x:c r="D740"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740" s="36" t="str">
        <x:v>SILO2: abstract data types and encapsulation to localise and minimise change; SILO3: code sharing and reuse through object-oriented techniques to reduce development time; SILO4: object-oriented design and implementation of computer programs for real-life problems</x:v>
      </x:c>
      <x:c r="F740" s="35" t="n">
        <x:v>0.2</x:v>
      </x:c>
      <x:c r="G740" s="37" t="n">
        <x:f>C740*F740</x:f>
        <x:v>16</x:v>
      </x:c>
    </x:row>
    <x:row r="741" ht="15" hidden="0" customHeight="1">
      <x:c r="A741" s="34" t="str">
        <x:v>STU0068</x:v>
      </x:c>
      <x:c r="B741" s="35" t="str">
        <x:v>CSE1OOF - Assignment</x:v>
      </x:c>
      <x:c r="C741" s="35" t="n">
        <x:v>81</x:v>
      </x:c>
      <x:c r="D741"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741" s="36" t="str">
        <x:v>SILO2: abstract data types and encapsulation to localise and minimise change; SILO3: code sharing and reuse through object-oriented techniques to reduce development time; SILO4: object-oriented design and implementation of computer programs for real-life problems</x:v>
      </x:c>
      <x:c r="F741" s="35" t="n">
        <x:v>0.25</x:v>
      </x:c>
      <x:c r="G741" s="37" t="n">
        <x:f>C741*F741</x:f>
        <x:v>20.25</x:v>
      </x:c>
    </x:row>
    <x:row r="742" ht="15" hidden="0" customHeight="1">
      <x:c r="A742" s="34" t="str">
        <x:v>STU0068</x:v>
      </x:c>
      <x:c r="B742" s="35" t="str">
        <x:v>CSE1OOF - Central examination</x:v>
      </x:c>
      <x:c r="C742" s="35" t="n">
        <x:v>82</x:v>
      </x:c>
      <x:c r="D742" s="36" t="str">
        <x:v>This strong result shows well-developed understanding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Further improvement would come from deeper justification, more consistent evaluation evidence and tighter links between decisions and implementation details.</x:v>
      </x:c>
      <x:c r="E742"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742" s="35" t="n">
        <x:v>0.4</x:v>
      </x:c>
      <x:c r="G742" s="37" t="n">
        <x:f>C742*F742</x:f>
        <x:v>32.800000000000004</x:v>
      </x:c>
    </x:row>
    <x:row r="743" ht="15" hidden="0" customHeight="1">
      <x:c r="A743" s="34" t="str">
        <x:v>STU0068</x:v>
      </x:c>
      <x:c r="B743" s="35" t="str">
        <x:v>CSE2ALG - Test</x:v>
      </x:c>
      <x:c r="C743" s="35" t="n">
        <x:v>89</x:v>
      </x:c>
      <x:c r="D743" s="36" t="str">
        <x:v>This excellent result demonstrates confident and independent command of the relevant learning themes, particularly overall objectives of Algorithms and Data Structures, identifying data structures and searching and sorting algorithms in computing contexts, and implementing data structures and searching and sorting algorithms in Java. The work is clear, accurate and well justified, with only minor opportunities to further polish explanation or evaluation.</x:v>
      </x:c>
      <x:c r="E743" s="36" t="str">
        <x:v>SILO1: overall objectives of Algorithms and Data Structures; SILO2: identifying data structures and searching and sorting algorithms in computing contexts; SILO3: implementing data structures and searching and sorting algorithms in Java</x:v>
      </x:c>
      <x:c r="F743" s="35" t="n">
        <x:v>0.2</x:v>
      </x:c>
      <x:c r="G743" s="37" t="n">
        <x:f>C743*F743</x:f>
        <x:v>17.8</x:v>
      </x:c>
    </x:row>
    <x:row r="744" ht="15" hidden="0" customHeight="1">
      <x:c r="A744" s="34" t="str">
        <x:v>STU0068</x:v>
      </x:c>
      <x:c r="B744" s="35" t="str">
        <x:v>CSE2ALG - Assignment</x:v>
      </x:c>
      <x:c r="C744" s="35" t="n">
        <x:v>89</x:v>
      </x:c>
      <x:c r="D744" s="36" t="str">
        <x:v>This excellent result demonstrates confident and independent command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The work is clear, accurate and well justified, with only minor opportunities to further polish explanation or evaluation.</x:v>
      </x:c>
      <x:c r="E744"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744" s="35" t="n">
        <x:v>0.3</x:v>
      </x:c>
      <x:c r="G744" s="37" t="n">
        <x:f>C744*F744</x:f>
        <x:v>26.7</x:v>
      </x:c>
    </x:row>
    <x:row r="745" ht="15" hidden="0" customHeight="1">
      <x:c r="A745" s="34" t="str">
        <x:v>STU0068</x:v>
      </x:c>
      <x:c r="B745" s="35" t="str">
        <x:v>CSE2ALG - Central examination</x:v>
      </x:c>
      <x:c r="C745" s="35" t="n">
        <x:v>88</x:v>
      </x:c>
      <x:c r="D745" s="36" t="str">
        <x:v>This excellent result demonstrates confident and independent command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The work is clear, accurate and well justified, with only minor opportunities to further polish explanation or evaluation.</x:v>
      </x:c>
      <x:c r="E745"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745" s="35" t="n">
        <x:v>0.5</x:v>
      </x:c>
      <x:c r="G745" s="37" t="n">
        <x:f>C745*F745</x:f>
        <x:v>44</x:v>
      </x:c>
    </x:row>
    <x:row r="746" ht="15" hidden="0" customHeight="1">
      <x:c r="A746" s="34" t="str">
        <x:v>STU0068</x:v>
      </x:c>
      <x:c r="B746" s="35" t="str">
        <x:v>CSE3CAP - Oral presentation: Project Milestone Presentation</x:v>
      </x:c>
      <x:c r="C746" s="35" t="n">
        <x:v>84</x:v>
      </x:c>
      <x:c r="D746"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746" s="36" t="str">
        <x:v>SILO3: reporting project outcomes to technical and non-technical audiences and reflecting on feedback</x:v>
      </x:c>
      <x:c r="F746" s="35" t="n">
        <x:v>0.1</x:v>
      </x:c>
      <x:c r="G746" s="37" t="n">
        <x:f>C746*F746</x:f>
        <x:v>8.4</x:v>
      </x:c>
    </x:row>
    <x:row r="747" ht="15" hidden="0" customHeight="1">
      <x:c r="A747" s="34" t="str">
        <x:v>STU0068</x:v>
      </x:c>
      <x:c r="B747" s="35" t="str">
        <x:v>CSE3CAP - Oral presentation: Final Project Presentation</x:v>
      </x:c>
      <x:c r="C747" s="35" t="n">
        <x:v>82</x:v>
      </x:c>
      <x:c r="D747"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747" s="36" t="str">
        <x:v>SILO3: reporting project outcomes to technical and non-technical audiences and reflecting on feedback</x:v>
      </x:c>
      <x:c r="F747" s="35" t="n">
        <x:v>0.2</x:v>
      </x:c>
      <x:c r="G747" s="37" t="n">
        <x:f>C747*F747</x:f>
        <x:v>16.400000000000002</x:v>
      </x:c>
    </x:row>
    <x:row r="748" ht="15" hidden="0" customHeight="1">
      <x:c r="A748" s="34" t="str">
        <x:v>STU0068</x:v>
      </x:c>
      <x:c r="B748" s="35" t="str">
        <x:v>CSE3CAP - Assignment: Final written Project Report</x:v>
      </x:c>
      <x:c r="C748" s="35" t="n">
        <x:v>86</x:v>
      </x:c>
      <x:c r="D748" s="36" t="str">
        <x:v>This excellent result demonstrates confident and independent command of the relevant learning themes, particularly industry standard technical solutions in software or cybersecurity practice and professional system documentation and advanced technical reporting to industry standards. The work is clear, accurate and well justified, with only minor opportunities to further polish explanation or evaluation.</x:v>
      </x:c>
      <x:c r="E748" s="36" t="str">
        <x:v>SILO2: industry standard technical solutions in software or cybersecurity practice; SILO4: professional system documentation and advanced technical reporting to industry standards</x:v>
      </x:c>
      <x:c r="F748" s="35" t="n">
        <x:v>0.35</x:v>
      </x:c>
      <x:c r="G748" s="37" t="n">
        <x:f>C748*F748</x:f>
        <x:v>30.099999999999998</x:v>
      </x:c>
    </x:row>
    <x:row r="749" ht="15" hidden="0" customHeight="1">
      <x:c r="A749" s="34" t="str">
        <x:v>STU0068</x:v>
      </x:c>
      <x:c r="B749" s="35" t="str">
        <x:v>CSE3CAP - Assignment: Sprint Project management reports</x:v>
      </x:c>
      <x:c r="C749" s="35" t="n">
        <x:v>82</x:v>
      </x:c>
      <x:c r="D749" s="36" t="str">
        <x:v>This strong result shows well-developed understanding of the relevant learning themes, particularly advanced project management during substantive development implementation and industry standard technical solutions in software or cybersecurity practice. Further improvement would come from deeper justification, more consistent evaluation evidence and tighter links between decisions and implementation details.</x:v>
      </x:c>
      <x:c r="E749" s="36" t="str">
        <x:v>SILO1: advanced project management during substantive development implementation; SILO2: industry standard technical solutions in software or cybersecurity practice</x:v>
      </x:c>
      <x:c r="F749" s="35" t="n">
        <x:v>0.35</x:v>
      </x:c>
      <x:c r="G749" s="37" t="n">
        <x:f>C749*F749</x:f>
        <x:v>28.7</x:v>
      </x:c>
    </x:row>
    <x:row r="750" ht="15" hidden="0" customHeight="1">
      <x:c r="A750" s="34" t="str">
        <x:v>STU0069</x:v>
      </x:c>
      <x:c r="B750" s="35" t="str">
        <x:v>CSE1OOF - Test</x:v>
      </x:c>
      <x:c r="C750" s="35" t="n">
        <x:v>47</x:v>
      </x:c>
      <x:c r="D750" s="36" t="str">
        <x:v>This limited result shows gaps that require targeted revision of the relevant learning themes, particularly analysis/design/implementation compared with object-oriented modelling using objects that combine data structure and behaviour and abstract data types and encapsulation to localise and minimise change. The student should revisit the core concepts, seek feedback early and practise applying the techniques in smaller, well-tested examples before attempting the full assessment task.</x:v>
      </x:c>
      <x:c r="E750" s="36" t="str">
        <x:v>SILO1: analysis/design/implementation compared with object-oriented modelling using objects that combine data structure and behaviour; SILO2: abstract data types and encapsulation to localise and minimise change</x:v>
      </x:c>
      <x:c r="F750" s="35" t="n">
        <x:v>0.15</x:v>
      </x:c>
      <x:c r="G750" s="37" t="n">
        <x:f>C750*F750</x:f>
        <x:v>7.05</x:v>
      </x:c>
    </x:row>
    <x:row r="751" ht="15" hidden="0" customHeight="1">
      <x:c r="A751" s="34" t="str">
        <x:v>STU0069</x:v>
      </x:c>
      <x:c r="B751" s="35" t="str">
        <x:v>CSE1OOF - Practical demonstration</x:v>
      </x:c>
      <x:c r="C751" s="35" t="n">
        <x:v>49</x:v>
      </x:c>
      <x:c r="D751" s="36" t="str">
        <x:v>This limited result shows gaps that require targeted revision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student should revisit the core concepts, seek feedback early and practise applying the techniques in smaller, well-tested examples before attempting the full assessment task.</x:v>
      </x:c>
      <x:c r="E751" s="36" t="str">
        <x:v>SILO2: abstract data types and encapsulation to localise and minimise change; SILO3: code sharing and reuse through object-oriented techniques to reduce development time; SILO4: object-oriented design and implementation of computer programs for real-life problems</x:v>
      </x:c>
      <x:c r="F751" s="35" t="n">
        <x:v>0.2</x:v>
      </x:c>
      <x:c r="G751" s="37" t="n">
        <x:f>C751*F751</x:f>
        <x:v>9.8</x:v>
      </x:c>
    </x:row>
    <x:row r="752" ht="15" hidden="0" customHeight="1">
      <x:c r="A752" s="34" t="str">
        <x:v>STU0069</x:v>
      </x:c>
      <x:c r="B752" s="35" t="str">
        <x:v>CSE1OOF - Assignment</x:v>
      </x:c>
      <x:c r="C752" s="35" t="n">
        <x:v>44</x:v>
      </x:c>
      <x:c r="D752" s="36" t="str">
        <x:v>This limited result shows gaps that require targeted revision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student should revisit the core concepts, seek feedback early and practise applying the techniques in smaller, well-tested examples before attempting the full assessment task.</x:v>
      </x:c>
      <x:c r="E752" s="36" t="str">
        <x:v>SILO2: abstract data types and encapsulation to localise and minimise change; SILO3: code sharing and reuse through object-oriented techniques to reduce development time; SILO4: object-oriented design and implementation of computer programs for real-life problems</x:v>
      </x:c>
      <x:c r="F752" s="35" t="n">
        <x:v>0.25</x:v>
      </x:c>
      <x:c r="G752" s="37" t="n">
        <x:f>C752*F752</x:f>
        <x:v>11</x:v>
      </x:c>
    </x:row>
    <x:row r="753" ht="15" hidden="0" customHeight="1">
      <x:c r="A753" s="34" t="str">
        <x:v>STU0069</x:v>
      </x:c>
      <x:c r="B753" s="35" t="str">
        <x:v>CSE1OOF - Central examination</x:v>
      </x:c>
      <x:c r="C753" s="35" t="n">
        <x:v>45</x:v>
      </x:c>
      <x:c r="D753" s="36" t="str">
        <x:v>This limited result shows gaps that require targeted revision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The student should revisit the core concepts, seek feedback early and practise applying the techniques in smaller, well-tested examples before attempting the full assessment task.</x:v>
      </x:c>
      <x:c r="E753"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753" s="35" t="n">
        <x:v>0.4</x:v>
      </x:c>
      <x:c r="G753" s="37" t="n">
        <x:f>C753*F753</x:f>
        <x:v>18</x:v>
      </x:c>
    </x:row>
    <x:row r="754" ht="15" hidden="0" customHeight="1">
      <x:c r="A754" s="34" t="str">
        <x:v>STU0069</x:v>
      </x:c>
      <x:c r="B754" s="35" t="str">
        <x:v>CSE2ALG - Test</x:v>
      </x:c>
      <x:c r="C754" s="35" t="n">
        <x:v>52</x:v>
      </x:c>
      <x:c r="D754"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754" s="36" t="str">
        <x:v>SILO1: overall objectives of Algorithms and Data Structures; SILO2: identifying data structures and searching and sorting algorithms in computing contexts; SILO3: implementing data structures and searching and sorting algorithms in Java</x:v>
      </x:c>
      <x:c r="F754" s="35" t="n">
        <x:v>0.2</x:v>
      </x:c>
      <x:c r="G754" s="37" t="n">
        <x:f>C754*F754</x:f>
        <x:v>10.4</x:v>
      </x:c>
    </x:row>
    <x:row r="755" ht="15" hidden="0" customHeight="1">
      <x:c r="A755" s="34" t="str">
        <x:v>STU0069</x:v>
      </x:c>
      <x:c r="B755" s="35" t="str">
        <x:v>CSE2ALG - Assignment</x:v>
      </x:c>
      <x:c r="C755" s="35" t="n">
        <x:v>54</x:v>
      </x:c>
      <x:c r="D755"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755"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755" s="35" t="n">
        <x:v>0.3</x:v>
      </x:c>
      <x:c r="G755" s="37" t="n">
        <x:f>C755*F755</x:f>
        <x:v>16.2</x:v>
      </x:c>
    </x:row>
    <x:row r="756" ht="15" hidden="0" customHeight="1">
      <x:c r="A756" s="34" t="str">
        <x:v>STU0069</x:v>
      </x:c>
      <x:c r="B756" s="35" t="str">
        <x:v>CSE2ALG - Central examination</x:v>
      </x:c>
      <x:c r="C756" s="35" t="n">
        <x:v>51</x:v>
      </x:c>
      <x:c r="D756" s="36" t="str">
        <x:v>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x:v>
      </x:c>
      <x:c r="E756"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756" s="35" t="n">
        <x:v>0.5</x:v>
      </x:c>
      <x:c r="G756" s="37" t="n">
        <x:f>C756*F756</x:f>
        <x:v>25.5</x:v>
      </x:c>
    </x:row>
    <x:row r="757" ht="15" hidden="0" customHeight="1">
      <x:c r="A757" s="34" t="str">
        <x:v>STU0069</x:v>
      </x:c>
      <x:c r="B757" s="35" t="str">
        <x:v>CSE3CAP - Oral presentation: Project Milestone Presentation</x:v>
      </x:c>
      <x:c r="C757" s="35" t="n">
        <x:v>49</x:v>
      </x:c>
      <x:c r="D757" s="36" t="str">
        <x:v>This limited result shows gaps that require targeted revision of the relevant learning themes, particularly reporting project outcomes to technical and non-technical audiences and reflecting on feedback. The student should revisit the core concepts, seek feedback early and practise applying the techniques in smaller, well-tested examples before attempting the full assessment task.</x:v>
      </x:c>
      <x:c r="E757" s="36" t="str">
        <x:v>SILO3: reporting project outcomes to technical and non-technical audiences and reflecting on feedback</x:v>
      </x:c>
      <x:c r="F757" s="35" t="n">
        <x:v>0.1</x:v>
      </x:c>
      <x:c r="G757" s="37" t="n">
        <x:f>C757*F757</x:f>
        <x:v>4.9</x:v>
      </x:c>
    </x:row>
    <x:row r="758" ht="15" hidden="0" customHeight="1">
      <x:c r="A758" s="34" t="str">
        <x:v>STU0069</x:v>
      </x:c>
      <x:c r="B758" s="35" t="str">
        <x:v>CSE3CAP - Oral presentation: Final Project Presentation</x:v>
      </x:c>
      <x:c r="C758" s="35" t="n">
        <x:v>52</x:v>
      </x:c>
      <x:c r="D758"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758" s="36" t="str">
        <x:v>SILO3: reporting project outcomes to technical and non-technical audiences and reflecting on feedback</x:v>
      </x:c>
      <x:c r="F758" s="35" t="n">
        <x:v>0.2</x:v>
      </x:c>
      <x:c r="G758" s="37" t="n">
        <x:f>C758*F758</x:f>
        <x:v>10.4</x:v>
      </x:c>
    </x:row>
    <x:row r="759" ht="15" hidden="0" customHeight="1">
      <x:c r="A759" s="34" t="str">
        <x:v>STU0069</x:v>
      </x:c>
      <x:c r="B759" s="35" t="str">
        <x:v>CSE3CAP - Assignment: Final written Project Report</x:v>
      </x:c>
      <x:c r="C759" s="35" t="n">
        <x:v>49</x:v>
      </x:c>
      <x:c r="D759" s="36" t="str">
        <x:v>This limited result shows gaps that require targeted revision of the relevant learning themes, particularly industry standard technical solutions in software or cybersecurity practice and professional system documentation and advanced technical reporting to industry standards. The student should revisit the core concepts, seek feedback early and practise applying the techniques in smaller, well-tested examples before attempting the full assessment task.</x:v>
      </x:c>
      <x:c r="E759" s="36" t="str">
        <x:v>SILO2: industry standard technical solutions in software or cybersecurity practice; SILO4: professional system documentation and advanced technical reporting to industry standards</x:v>
      </x:c>
      <x:c r="F759" s="35" t="n">
        <x:v>0.35</x:v>
      </x:c>
      <x:c r="G759" s="37" t="n">
        <x:f>C759*F759</x:f>
        <x:v>17.15</x:v>
      </x:c>
    </x:row>
    <x:row r="760" ht="15" hidden="0" customHeight="1">
      <x:c r="A760" s="34" t="str">
        <x:v>STU0069</x:v>
      </x:c>
      <x:c r="B760" s="35" t="str">
        <x:v>CSE3CAP - Assignment: Sprint Project management reports</x:v>
      </x:c>
      <x:c r="C760" s="35" t="n">
        <x:v>51</x:v>
      </x:c>
      <x:c r="D760"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760" s="36" t="str">
        <x:v>SILO1: advanced project management during substantive development implementation; SILO2: industry standard technical solutions in software or cybersecurity practice</x:v>
      </x:c>
      <x:c r="F760" s="35" t="n">
        <x:v>0.35</x:v>
      </x:c>
      <x:c r="G760" s="37" t="n">
        <x:f>C760*F760</x:f>
        <x:v>17.849999999999998</x:v>
      </x:c>
    </x:row>
    <x:row r="761" ht="15" hidden="0" customHeight="1">
      <x:c r="A761" s="34" t="str">
        <x:v>STU0070</x:v>
      </x:c>
      <x:c r="B761" s="35" t="str">
        <x:v>CSE1OOF - Test</x:v>
      </x:c>
      <x:c r="C761" s="35" t="n">
        <x:v>72</x:v>
      </x:c>
      <x:c r="D761"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761" s="36" t="str">
        <x:v>SILO1: analysis/design/implementation compared with object-oriented modelling using objects that combine data structure and behaviour; SILO2: abstract data types and encapsulation to localise and minimise change</x:v>
      </x:c>
      <x:c r="F761" s="35" t="n">
        <x:v>0.15</x:v>
      </x:c>
      <x:c r="G761" s="37" t="n">
        <x:f>C761*F761</x:f>
        <x:v>10.799999999999999</x:v>
      </x:c>
    </x:row>
    <x:row r="762" ht="15" hidden="0" customHeight="1">
      <x:c r="A762" s="34" t="str">
        <x:v>STU0070</x:v>
      </x:c>
      <x:c r="B762" s="35" t="str">
        <x:v>CSE1OOF - Practical demonstration</x:v>
      </x:c>
      <x:c r="C762" s="35" t="n">
        <x:v>78</x:v>
      </x:c>
      <x:c r="D762"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762" s="36" t="str">
        <x:v>SILO2: abstract data types and encapsulation to localise and minimise change; SILO3: code sharing and reuse through object-oriented techniques to reduce development time; SILO4: object-oriented design and implementation of computer programs for real-life problems</x:v>
      </x:c>
      <x:c r="F762" s="35" t="n">
        <x:v>0.2</x:v>
      </x:c>
      <x:c r="G762" s="37" t="n">
        <x:f>C762*F762</x:f>
        <x:v>15.600000000000001</x:v>
      </x:c>
    </x:row>
    <x:row r="763" ht="15" hidden="0" customHeight="1">
      <x:c r="A763" s="34" t="str">
        <x:v>STU0070</x:v>
      </x:c>
      <x:c r="B763" s="35" t="str">
        <x:v>CSE1OOF - Assignment</x:v>
      </x:c>
      <x:c r="C763" s="35" t="n">
        <x:v>74</x:v>
      </x:c>
      <x:c r="D763"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763" s="36" t="str">
        <x:v>SILO2: abstract data types and encapsulation to localise and minimise change; SILO3: code sharing and reuse through object-oriented techniques to reduce development time; SILO4: object-oriented design and implementation of computer programs for real-life problems</x:v>
      </x:c>
      <x:c r="F763" s="35" t="n">
        <x:v>0.25</x:v>
      </x:c>
      <x:c r="G763" s="37" t="n">
        <x:f>C763*F763</x:f>
        <x:v>18.5</x:v>
      </x:c>
    </x:row>
    <x:row r="764" ht="15" hidden="0" customHeight="1">
      <x:c r="A764" s="34" t="str">
        <x:v>STU0070</x:v>
      </x:c>
      <x:c r="B764" s="35" t="str">
        <x:v>CSE1OOF - Central examination</x:v>
      </x:c>
      <x:c r="C764" s="35" t="n">
        <x:v>75</x:v>
      </x:c>
      <x:c r="D764" s="36" t="str">
        <x:v>This strong result shows well-developed understanding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Further improvement would come from deeper justification, more consistent evaluation evidence and tighter links between decisions and implementation details.</x:v>
      </x:c>
      <x:c r="E764"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764" s="35" t="n">
        <x:v>0.4</x:v>
      </x:c>
      <x:c r="G764" s="37" t="n">
        <x:f>C764*F764</x:f>
        <x:v>30</x:v>
      </x:c>
    </x:row>
    <x:row r="765" ht="15" hidden="0" customHeight="1">
      <x:c r="A765" s="34" t="str">
        <x:v>STU0070</x:v>
      </x:c>
      <x:c r="B765" s="35" t="str">
        <x:v>CSE2ALG - Test</x:v>
      </x:c>
      <x:c r="C765" s="35" t="n">
        <x:v>74</x:v>
      </x:c>
      <x:c r="D765"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765" s="36" t="str">
        <x:v>SILO1: overall objectives of Algorithms and Data Structures; SILO2: identifying data structures and searching and sorting algorithms in computing contexts; SILO3: implementing data structures and searching and sorting algorithms in Java</x:v>
      </x:c>
      <x:c r="F765" s="35" t="n">
        <x:v>0.2</x:v>
      </x:c>
      <x:c r="G765" s="37" t="n">
        <x:f>C765*F765</x:f>
        <x:v>14.8</x:v>
      </x:c>
    </x:row>
    <x:row r="766" ht="15" hidden="0" customHeight="1">
      <x:c r="A766" s="34" t="str">
        <x:v>STU0070</x:v>
      </x:c>
      <x:c r="B766" s="35" t="str">
        <x:v>CSE2ALG - Assignment</x:v>
      </x:c>
      <x:c r="C766" s="35" t="n">
        <x:v>71</x:v>
      </x:c>
      <x:c r="D766" s="36" t="str">
        <x:v>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x:v>
      </x:c>
      <x:c r="E766"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766" s="35" t="n">
        <x:v>0.3</x:v>
      </x:c>
      <x:c r="G766" s="37" t="n">
        <x:f>C766*F766</x:f>
        <x:v>21.3</x:v>
      </x:c>
    </x:row>
    <x:row r="767" ht="15" hidden="0" customHeight="1">
      <x:c r="A767" s="34" t="str">
        <x:v>STU0070</x:v>
      </x:c>
      <x:c r="B767" s="35" t="str">
        <x:v>CSE2ALG - Central examination</x:v>
      </x:c>
      <x:c r="C767" s="35" t="n">
        <x:v>76</x:v>
      </x:c>
      <x:c r="D767" s="36" t="str">
        <x:v>This strong result shows well-developed understanding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Further improvement would come from deeper justification, more consistent evaluation evidence and tighter links between decisions and implementation details.</x:v>
      </x:c>
      <x:c r="E767"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767" s="35" t="n">
        <x:v>0.5</x:v>
      </x:c>
      <x:c r="G767" s="37" t="n">
        <x:f>C767*F767</x:f>
        <x:v>38</x:v>
      </x:c>
    </x:row>
    <x:row r="768" ht="15" hidden="0" customHeight="1">
      <x:c r="A768" s="34" t="str">
        <x:v>STU0070</x:v>
      </x:c>
      <x:c r="B768" s="35" t="str">
        <x:v>CSE3CAP - Oral presentation: Project Milestone Presentation</x:v>
      </x:c>
      <x:c r="C768" s="35" t="n">
        <x:v>73</x:v>
      </x:c>
      <x:c r="D768"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768" s="36" t="str">
        <x:v>SILO3: reporting project outcomes to technical and non-technical audiences and reflecting on feedback</x:v>
      </x:c>
      <x:c r="F768" s="35" t="n">
        <x:v>0.1</x:v>
      </x:c>
      <x:c r="G768" s="37" t="n">
        <x:f>C768*F768</x:f>
        <x:v>7.300000000000001</x:v>
      </x:c>
    </x:row>
    <x:row r="769" ht="15" hidden="0" customHeight="1">
      <x:c r="A769" s="34" t="str">
        <x:v>STU0070</x:v>
      </x:c>
      <x:c r="B769" s="35" t="str">
        <x:v>CSE3CAP - Oral presentation: Final Project Presentation</x:v>
      </x:c>
      <x:c r="C769" s="35" t="n">
        <x:v>73</x:v>
      </x:c>
      <x:c r="D769"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769" s="36" t="str">
        <x:v>SILO3: reporting project outcomes to technical and non-technical audiences and reflecting on feedback</x:v>
      </x:c>
      <x:c r="F769" s="35" t="n">
        <x:v>0.2</x:v>
      </x:c>
      <x:c r="G769" s="37" t="n">
        <x:f>C769*F769</x:f>
        <x:v>14.600000000000001</x:v>
      </x:c>
    </x:row>
    <x:row r="770" ht="15" hidden="0" customHeight="1">
      <x:c r="A770" s="34" t="str">
        <x:v>STU0070</x:v>
      </x:c>
      <x:c r="B770" s="35" t="str">
        <x:v>CSE3CAP - Assignment: Final written Project Report</x:v>
      </x:c>
      <x:c r="C770" s="35" t="n">
        <x:v>76</x:v>
      </x:c>
      <x:c r="D770" s="36" t="str">
        <x:v>This strong result shows well-developed understanding of the relevant learning themes, particularly industry standard technical solutions in software or cybersecurity practice and professional system documentation and advanced technical reporting to industry standards. Further improvement would come from deeper justification, more consistent evaluation evidence and tighter links between decisions and implementation details.</x:v>
      </x:c>
      <x:c r="E770" s="36" t="str">
        <x:v>SILO2: industry standard technical solutions in software or cybersecurity practice; SILO4: professional system documentation and advanced technical reporting to industry standards</x:v>
      </x:c>
      <x:c r="F770" s="35" t="n">
        <x:v>0.35</x:v>
      </x:c>
      <x:c r="G770" s="37" t="n">
        <x:f>C770*F770</x:f>
        <x:v>26.599999999999998</x:v>
      </x:c>
    </x:row>
    <x:row r="771" ht="15" hidden="0" customHeight="1">
      <x:c r="A771" s="34" t="str">
        <x:v>STU0070</x:v>
      </x:c>
      <x:c r="B771" s="35" t="str">
        <x:v>CSE3CAP - Assignment: Sprint Project management reports</x:v>
      </x:c>
      <x:c r="C771" s="35" t="n">
        <x:v>76</x:v>
      </x:c>
      <x:c r="D771" s="36" t="str">
        <x:v>This strong result shows well-developed understanding of the relevant learning themes, particularly advanced project management during substantive development implementation and industry standard technical solutions in software or cybersecurity practice. Further improvement would come from deeper justification, more consistent evaluation evidence and tighter links between decisions and implementation details.</x:v>
      </x:c>
      <x:c r="E771" s="36" t="str">
        <x:v>SILO1: advanced project management during substantive development implementation; SILO2: industry standard technical solutions in software or cybersecurity practice</x:v>
      </x:c>
      <x:c r="F771" s="35" t="n">
        <x:v>0.35</x:v>
      </x:c>
      <x:c r="G771" s="37" t="n">
        <x:f>C771*F771</x:f>
        <x:v>26.599999999999998</x:v>
      </x:c>
    </x:row>
    <x:row r="772" ht="15" hidden="0" customHeight="1">
      <x:c r="A772" s="34" t="str">
        <x:v>STU0071</x:v>
      </x:c>
      <x:c r="B772" s="35" t="str">
        <x:v>CSE1OOF - Test</x:v>
      </x:c>
      <x:c r="C772" s="35" t="n">
        <x:v>64</x:v>
      </x:c>
      <x:c r="D772"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772" s="36" t="str">
        <x:v>SILO1: analysis/design/implementation compared with object-oriented modelling using objects that combine data structure and behaviour; SILO2: abstract data types and encapsulation to localise and minimise change</x:v>
      </x:c>
      <x:c r="F772" s="35" t="n">
        <x:v>0.15</x:v>
      </x:c>
      <x:c r="G772" s="37" t="n">
        <x:f>C772*F772</x:f>
        <x:v>9.6</x:v>
      </x:c>
    </x:row>
    <x:row r="773" ht="15" hidden="0" customHeight="1">
      <x:c r="A773" s="34" t="str">
        <x:v>STU0071</x:v>
      </x:c>
      <x:c r="B773" s="35" t="str">
        <x:v>CSE1OOF - Practical demonstration</x:v>
      </x:c>
      <x:c r="C773" s="35" t="n">
        <x:v>66</x:v>
      </x:c>
      <x:c r="D773"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773" s="36" t="str">
        <x:v>SILO2: abstract data types and encapsulation to localise and minimise change; SILO3: code sharing and reuse through object-oriented techniques to reduce development time; SILO4: object-oriented design and implementation of computer programs for real-life problems</x:v>
      </x:c>
      <x:c r="F773" s="35" t="n">
        <x:v>0.2</x:v>
      </x:c>
      <x:c r="G773" s="37" t="n">
        <x:f>C773*F773</x:f>
        <x:v>13.200000000000001</x:v>
      </x:c>
    </x:row>
    <x:row r="774" ht="15" hidden="0" customHeight="1">
      <x:c r="A774" s="34" t="str">
        <x:v>STU0071</x:v>
      </x:c>
      <x:c r="B774" s="35" t="str">
        <x:v>CSE1OOF - Assignment</x:v>
      </x:c>
      <x:c r="C774" s="35" t="n">
        <x:v>66</x:v>
      </x:c>
      <x:c r="D774"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774" s="36" t="str">
        <x:v>SILO2: abstract data types and encapsulation to localise and minimise change; SILO3: code sharing and reuse through object-oriented techniques to reduce development time; SILO4: object-oriented design and implementation of computer programs for real-life problems</x:v>
      </x:c>
      <x:c r="F774" s="35" t="n">
        <x:v>0.25</x:v>
      </x:c>
      <x:c r="G774" s="37" t="n">
        <x:f>C774*F774</x:f>
        <x:v>16.5</x:v>
      </x:c>
    </x:row>
    <x:row r="775" ht="15" hidden="0" customHeight="1">
      <x:c r="A775" s="34" t="str">
        <x:v>STU0071</x:v>
      </x:c>
      <x:c r="B775" s="35" t="str">
        <x:v>CSE1OOF - Central examination</x:v>
      </x:c>
      <x:c r="C775" s="35" t="n">
        <x:v>69</x:v>
      </x:c>
      <x:c r="D775"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775"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775" s="35" t="n">
        <x:v>0.4</x:v>
      </x:c>
      <x:c r="G775" s="37" t="n">
        <x:f>C775*F775</x:f>
        <x:v>27.6</x:v>
      </x:c>
    </x:row>
    <x:row r="776" ht="15" hidden="0" customHeight="1">
      <x:c r="A776" s="34" t="str">
        <x:v>STU0071</x:v>
      </x:c>
      <x:c r="B776" s="35" t="str">
        <x:v>CSE2ALG - Test</x:v>
      </x:c>
      <x:c r="C776" s="35" t="n">
        <x:v>61</x:v>
      </x:c>
      <x:c r="D776"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776" s="36" t="str">
        <x:v>SILO1: overall objectives of Algorithms and Data Structures; SILO2: identifying data structures and searching and sorting algorithms in computing contexts; SILO3: implementing data structures and searching and sorting algorithms in Java</x:v>
      </x:c>
      <x:c r="F776" s="35" t="n">
        <x:v>0.2</x:v>
      </x:c>
      <x:c r="G776" s="37" t="n">
        <x:f>C776*F776</x:f>
        <x:v>12.200000000000001</x:v>
      </x:c>
    </x:row>
    <x:row r="777" ht="15" hidden="0" customHeight="1">
      <x:c r="A777" s="34" t="str">
        <x:v>STU0071</x:v>
      </x:c>
      <x:c r="B777" s="35" t="str">
        <x:v>CSE2ALG - Assignment</x:v>
      </x:c>
      <x:c r="C777" s="35" t="n">
        <x:v>58</x:v>
      </x:c>
      <x:c r="D777"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777"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777" s="35" t="n">
        <x:v>0.3</x:v>
      </x:c>
      <x:c r="G777" s="37" t="n">
        <x:f>C777*F777</x:f>
        <x:v>17.4</x:v>
      </x:c>
    </x:row>
    <x:row r="778" ht="15" hidden="0" customHeight="1">
      <x:c r="A778" s="34" t="str">
        <x:v>STU0071</x:v>
      </x:c>
      <x:c r="B778" s="35" t="str">
        <x:v>CSE2ALG - Central examination</x:v>
      </x:c>
      <x:c r="C778" s="35" t="n">
        <x:v>62</x:v>
      </x:c>
      <x:c r="D778" s="36" t="str">
        <x:v>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x:v>
      </x:c>
      <x:c r="E778"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778" s="35" t="n">
        <x:v>0.5</x:v>
      </x:c>
      <x:c r="G778" s="37" t="n">
        <x:f>C778*F778</x:f>
        <x:v>31</x:v>
      </x:c>
    </x:row>
    <x:row r="779" ht="15" hidden="0" customHeight="1">
      <x:c r="A779" s="34" t="str">
        <x:v>STU0071</x:v>
      </x:c>
      <x:c r="B779" s="35" t="str">
        <x:v>CSE3CAP - Oral presentation: Project Milestone Presentation</x:v>
      </x:c>
      <x:c r="C779" s="35" t="n">
        <x:v>68</x:v>
      </x:c>
      <x:c r="D779"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779" s="36" t="str">
        <x:v>SILO3: reporting project outcomes to technical and non-technical audiences and reflecting on feedback</x:v>
      </x:c>
      <x:c r="F779" s="35" t="n">
        <x:v>0.1</x:v>
      </x:c>
      <x:c r="G779" s="37" t="n">
        <x:f>C779*F779</x:f>
        <x:v>6.800000000000001</x:v>
      </x:c>
    </x:row>
    <x:row r="780" ht="15" hidden="0" customHeight="1">
      <x:c r="A780" s="34" t="str">
        <x:v>STU0071</x:v>
      </x:c>
      <x:c r="B780" s="35" t="str">
        <x:v>CSE3CAP - Oral presentation: Final Project Presentation</x:v>
      </x:c>
      <x:c r="C780" s="35" t="n">
        <x:v>68</x:v>
      </x:c>
      <x:c r="D780"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780" s="36" t="str">
        <x:v>SILO3: reporting project outcomes to technical and non-technical audiences and reflecting on feedback</x:v>
      </x:c>
      <x:c r="F780" s="35" t="n">
        <x:v>0.2</x:v>
      </x:c>
      <x:c r="G780" s="37" t="n">
        <x:f>C780*F780</x:f>
        <x:v>13.600000000000001</x:v>
      </x:c>
    </x:row>
    <x:row r="781" ht="15" hidden="0" customHeight="1">
      <x:c r="A781" s="34" t="str">
        <x:v>STU0071</x:v>
      </x:c>
      <x:c r="B781" s="35" t="str">
        <x:v>CSE3CAP - Assignment: Final written Project Report</x:v>
      </x:c>
      <x:c r="C781" s="35" t="n">
        <x:v>69</x:v>
      </x:c>
      <x:c r="D781" s="36" t="str">
        <x:v>This sound result shows a competent and generally reliable grasp of the relevant learning themes, particularly industry standard technical solutions in software or cybersecurity practice and professional system documentation and advanced technical reporting to industry standards. To strengthen the result, the student should provide clearer reasoning, improve technical precision and show more complete testing or reflection.</x:v>
      </x:c>
      <x:c r="E781" s="36" t="str">
        <x:v>SILO2: industry standard technical solutions in software or cybersecurity practice; SILO4: professional system documentation and advanced technical reporting to industry standards</x:v>
      </x:c>
      <x:c r="F781" s="35" t="n">
        <x:v>0.35</x:v>
      </x:c>
      <x:c r="G781" s="37" t="n">
        <x:f>C781*F781</x:f>
        <x:v>24.15</x:v>
      </x:c>
    </x:row>
    <x:row r="782" ht="15" hidden="0" customHeight="1">
      <x:c r="A782" s="34" t="str">
        <x:v>STU0071</x:v>
      </x:c>
      <x:c r="B782" s="35" t="str">
        <x:v>CSE3CAP - Assignment: Sprint Project management reports</x:v>
      </x:c>
      <x:c r="C782" s="35" t="n">
        <x:v>67</x:v>
      </x:c>
      <x:c r="D782" s="36" t="str">
        <x:v>This sound result shows a competent and generally reliable grasp of the relevant learning themes, particularly advanced project management during substantive development implementation and industry standard technical solutions in software or cybersecurity practice. To strengthen the result, the student should provide clearer reasoning, improve technical precision and show more complete testing or reflection.</x:v>
      </x:c>
      <x:c r="E782" s="36" t="str">
        <x:v>SILO1: advanced project management during substantive development implementation; SILO2: industry standard technical solutions in software or cybersecurity practice</x:v>
      </x:c>
      <x:c r="F782" s="35" t="n">
        <x:v>0.35</x:v>
      </x:c>
      <x:c r="G782" s="37" t="n">
        <x:f>C782*F782</x:f>
        <x:v>23.45</x:v>
      </x:c>
    </x:row>
    <x:row r="783" ht="15" hidden="0" customHeight="1">
      <x:c r="A783" s="34" t="str">
        <x:v>STU0072</x:v>
      </x:c>
      <x:c r="B783" s="35" t="str">
        <x:v>CSE1OOF - Test</x:v>
      </x:c>
      <x:c r="C783" s="35" t="n">
        <x:v>78</x:v>
      </x:c>
      <x:c r="D783" s="36" t="str">
        <x:v>This strong result shows well-developed understanding of the relevant learning themes, particularly analysis/design/implementation compared with object-oriented modelling using objects that combine data structure and behaviour and abstract data types and encapsulation to localise and minimise change. Further improvement would come from deeper justification, more consistent evaluation evidence and tighter links between decisions and implementation details.</x:v>
      </x:c>
      <x:c r="E783" s="36" t="str">
        <x:v>SILO1: analysis/design/implementation compared with object-oriented modelling using objects that combine data structure and behaviour; SILO2: abstract data types and encapsulation to localise and minimise change</x:v>
      </x:c>
      <x:c r="F783" s="35" t="n">
        <x:v>0.15</x:v>
      </x:c>
      <x:c r="G783" s="37" t="n">
        <x:f>C783*F783</x:f>
        <x:v>11.7</x:v>
      </x:c>
    </x:row>
    <x:row r="784" ht="15" hidden="0" customHeight="1">
      <x:c r="A784" s="34" t="str">
        <x:v>STU0072</x:v>
      </x:c>
      <x:c r="B784" s="35" t="str">
        <x:v>CSE1OOF - Practical demonstration</x:v>
      </x:c>
      <x:c r="C784" s="35" t="n">
        <x:v>79</x:v>
      </x:c>
      <x:c r="D784"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784" s="36" t="str">
        <x:v>SILO2: abstract data types and encapsulation to localise and minimise change; SILO3: code sharing and reuse through object-oriented techniques to reduce development time; SILO4: object-oriented design and implementation of computer programs for real-life problems</x:v>
      </x:c>
      <x:c r="F784" s="35" t="n">
        <x:v>0.2</x:v>
      </x:c>
      <x:c r="G784" s="37" t="n">
        <x:f>C784*F784</x:f>
        <x:v>15.8</x:v>
      </x:c>
    </x:row>
    <x:row r="785" ht="15" hidden="0" customHeight="1">
      <x:c r="A785" s="34" t="str">
        <x:v>STU0072</x:v>
      </x:c>
      <x:c r="B785" s="35" t="str">
        <x:v>CSE1OOF - Assignment</x:v>
      </x:c>
      <x:c r="C785" s="35" t="n">
        <x:v>77</x:v>
      </x:c>
      <x:c r="D785"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785" s="36" t="str">
        <x:v>SILO2: abstract data types and encapsulation to localise and minimise change; SILO3: code sharing and reuse through object-oriented techniques to reduce development time; SILO4: object-oriented design and implementation of computer programs for real-life problems</x:v>
      </x:c>
      <x:c r="F785" s="35" t="n">
        <x:v>0.25</x:v>
      </x:c>
      <x:c r="G785" s="37" t="n">
        <x:f>C785*F785</x:f>
        <x:v>19.25</x:v>
      </x:c>
    </x:row>
    <x:row r="786" ht="15" hidden="0" customHeight="1">
      <x:c r="A786" s="34" t="str">
        <x:v>STU0072</x:v>
      </x:c>
      <x:c r="B786" s="35" t="str">
        <x:v>CSE1OOF - Central examination</x:v>
      </x:c>
      <x:c r="C786" s="35" t="n">
        <x:v>77</x:v>
      </x:c>
      <x:c r="D786" s="36" t="str">
        <x:v>This strong result shows well-developed understanding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Further improvement would come from deeper justification, more consistent evaluation evidence and tighter links between decisions and implementation details.</x:v>
      </x:c>
      <x:c r="E786"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786" s="35" t="n">
        <x:v>0.4</x:v>
      </x:c>
      <x:c r="G786" s="37" t="n">
        <x:f>C786*F786</x:f>
        <x:v>30.8</x:v>
      </x:c>
    </x:row>
    <x:row r="787" ht="15" hidden="0" customHeight="1">
      <x:c r="A787" s="34" t="str">
        <x:v>STU0072</x:v>
      </x:c>
      <x:c r="B787" s="35" t="str">
        <x:v>CSE2ALG - Test</x:v>
      </x:c>
      <x:c r="C787" s="35" t="n">
        <x:v>71</x:v>
      </x:c>
      <x:c r="D787"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787" s="36" t="str">
        <x:v>SILO1: overall objectives of Algorithms and Data Structures; SILO2: identifying data structures and searching and sorting algorithms in computing contexts; SILO3: implementing data structures and searching and sorting algorithms in Java</x:v>
      </x:c>
      <x:c r="F787" s="35" t="n">
        <x:v>0.2</x:v>
      </x:c>
      <x:c r="G787" s="37" t="n">
        <x:f>C787*F787</x:f>
        <x:v>14.200000000000001</x:v>
      </x:c>
    </x:row>
    <x:row r="788" ht="15" hidden="0" customHeight="1">
      <x:c r="A788" s="34" t="str">
        <x:v>STU0072</x:v>
      </x:c>
      <x:c r="B788" s="35" t="str">
        <x:v>CSE2ALG - Assignment</x:v>
      </x:c>
      <x:c r="C788" s="35" t="n">
        <x:v>70</x:v>
      </x:c>
      <x:c r="D788" s="36" t="str">
        <x:v>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x:v>
      </x:c>
      <x:c r="E788"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788" s="35" t="n">
        <x:v>0.3</x:v>
      </x:c>
      <x:c r="G788" s="37" t="n">
        <x:f>C788*F788</x:f>
        <x:v>21</x:v>
      </x:c>
    </x:row>
    <x:row r="789" ht="15" hidden="0" customHeight="1">
      <x:c r="A789" s="34" t="str">
        <x:v>STU0072</x:v>
      </x:c>
      <x:c r="B789" s="35" t="str">
        <x:v>CSE2ALG - Central examination</x:v>
      </x:c>
      <x:c r="C789" s="35" t="n">
        <x:v>76</x:v>
      </x:c>
      <x:c r="D789" s="36" t="str">
        <x:v>This strong result shows well-developed understanding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Further improvement would come from deeper justification, more consistent evaluation evidence and tighter links between decisions and implementation details.</x:v>
      </x:c>
      <x:c r="E789"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789" s="35" t="n">
        <x:v>0.5</x:v>
      </x:c>
      <x:c r="G789" s="37" t="n">
        <x:f>C789*F789</x:f>
        <x:v>38</x:v>
      </x:c>
    </x:row>
    <x:row r="790" ht="15" hidden="0" customHeight="1">
      <x:c r="A790" s="34" t="str">
        <x:v>STU0072</x:v>
      </x:c>
      <x:c r="B790" s="35" t="str">
        <x:v>CSE3CAP - Oral presentation: Project Milestone Presentation</x:v>
      </x:c>
      <x:c r="C790" s="35" t="n">
        <x:v>73</x:v>
      </x:c>
      <x:c r="D790"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790" s="36" t="str">
        <x:v>SILO3: reporting project outcomes to technical and non-technical audiences and reflecting on feedback</x:v>
      </x:c>
      <x:c r="F790" s="35" t="n">
        <x:v>0.1</x:v>
      </x:c>
      <x:c r="G790" s="37" t="n">
        <x:f>C790*F790</x:f>
        <x:v>7.300000000000001</x:v>
      </x:c>
    </x:row>
    <x:row r="791" ht="15" hidden="0" customHeight="1">
      <x:c r="A791" s="34" t="str">
        <x:v>STU0072</x:v>
      </x:c>
      <x:c r="B791" s="35" t="str">
        <x:v>CSE3CAP - Oral presentation: Final Project Presentation</x:v>
      </x:c>
      <x:c r="C791" s="35" t="n">
        <x:v>76</x:v>
      </x:c>
      <x:c r="D791"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791" s="36" t="str">
        <x:v>SILO3: reporting project outcomes to technical and non-technical audiences and reflecting on feedback</x:v>
      </x:c>
      <x:c r="F791" s="35" t="n">
        <x:v>0.2</x:v>
      </x:c>
      <x:c r="G791" s="37" t="n">
        <x:f>C791*F791</x:f>
        <x:v>15.200000000000001</x:v>
      </x:c>
    </x:row>
    <x:row r="792" ht="15" hidden="0" customHeight="1">
      <x:c r="A792" s="34" t="str">
        <x:v>STU0072</x:v>
      </x:c>
      <x:c r="B792" s="35" t="str">
        <x:v>CSE3CAP - Assignment: Final written Project Report</x:v>
      </x:c>
      <x:c r="C792" s="35" t="n">
        <x:v>75</x:v>
      </x:c>
      <x:c r="D792" s="36" t="str">
        <x:v>This strong result shows well-developed understanding of the relevant learning themes, particularly industry standard technical solutions in software or cybersecurity practice and professional system documentation and advanced technical reporting to industry standards. Further improvement would come from deeper justification, more consistent evaluation evidence and tighter links between decisions and implementation details.</x:v>
      </x:c>
      <x:c r="E792" s="36" t="str">
        <x:v>SILO2: industry standard technical solutions in software or cybersecurity practice; SILO4: professional system documentation and advanced technical reporting to industry standards</x:v>
      </x:c>
      <x:c r="F792" s="35" t="n">
        <x:v>0.35</x:v>
      </x:c>
      <x:c r="G792" s="37" t="n">
        <x:f>C792*F792</x:f>
        <x:v>26.25</x:v>
      </x:c>
    </x:row>
    <x:row r="793" ht="15" hidden="0" customHeight="1">
      <x:c r="A793" s="34" t="str">
        <x:v>STU0072</x:v>
      </x:c>
      <x:c r="B793" s="35" t="str">
        <x:v>CSE3CAP - Assignment: Sprint Project management reports</x:v>
      </x:c>
      <x:c r="C793" s="35" t="n">
        <x:v>70</x:v>
      </x:c>
      <x:c r="D793" s="36" t="str">
        <x:v>This sound result shows a competent and generally reliable grasp of the relevant learning themes, particularly advanced project management during substantive development implementation and industry standard technical solutions in software or cybersecurity practice. To strengthen the result, the student should provide clearer reasoning, improve technical precision and show more complete testing or reflection.</x:v>
      </x:c>
      <x:c r="E793" s="36" t="str">
        <x:v>SILO1: advanced project management during substantive development implementation; SILO2: industry standard technical solutions in software or cybersecurity practice</x:v>
      </x:c>
      <x:c r="F793" s="35" t="n">
        <x:v>0.35</x:v>
      </x:c>
      <x:c r="G793" s="37" t="n">
        <x:f>C793*F793</x:f>
        <x:v>24.5</x:v>
      </x:c>
    </x:row>
    <x:row r="794" ht="15" hidden="0" customHeight="1">
      <x:c r="A794" s="34" t="str">
        <x:v>STU0073</x:v>
      </x:c>
      <x:c r="B794" s="35" t="str">
        <x:v>CSE1OOF - Test</x:v>
      </x:c>
      <x:c r="C794" s="35" t="n">
        <x:v>73</x:v>
      </x:c>
      <x:c r="D794"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794" s="36" t="str">
        <x:v>SILO1: analysis/design/implementation compared with object-oriented modelling using objects that combine data structure and behaviour; SILO2: abstract data types and encapsulation to localise and minimise change</x:v>
      </x:c>
      <x:c r="F794" s="35" t="n">
        <x:v>0.15</x:v>
      </x:c>
      <x:c r="G794" s="37" t="n">
        <x:f>C794*F794</x:f>
        <x:v>10.95</x:v>
      </x:c>
    </x:row>
    <x:row r="795" ht="15" hidden="0" customHeight="1">
      <x:c r="A795" s="34" t="str">
        <x:v>STU0073</x:v>
      </x:c>
      <x:c r="B795" s="35" t="str">
        <x:v>CSE1OOF - Practical demonstration</x:v>
      </x:c>
      <x:c r="C795" s="35" t="n">
        <x:v>74</x:v>
      </x:c>
      <x:c r="D795"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795" s="36" t="str">
        <x:v>SILO2: abstract data types and encapsulation to localise and minimise change; SILO3: code sharing and reuse through object-oriented techniques to reduce development time; SILO4: object-oriented design and implementation of computer programs for real-life problems</x:v>
      </x:c>
      <x:c r="F795" s="35" t="n">
        <x:v>0.2</x:v>
      </x:c>
      <x:c r="G795" s="37" t="n">
        <x:f>C795*F795</x:f>
        <x:v>14.8</x:v>
      </x:c>
    </x:row>
    <x:row r="796" ht="15" hidden="0" customHeight="1">
      <x:c r="A796" s="34" t="str">
        <x:v>STU0073</x:v>
      </x:c>
      <x:c r="B796" s="35" t="str">
        <x:v>CSE1OOF - Assignment</x:v>
      </x:c>
      <x:c r="C796" s="35" t="n">
        <x:v>73</x:v>
      </x:c>
      <x:c r="D796"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796" s="36" t="str">
        <x:v>SILO2: abstract data types and encapsulation to localise and minimise change; SILO3: code sharing and reuse through object-oriented techniques to reduce development time; SILO4: object-oriented design and implementation of computer programs for real-life problems</x:v>
      </x:c>
      <x:c r="F796" s="35" t="n">
        <x:v>0.25</x:v>
      </x:c>
      <x:c r="G796" s="37" t="n">
        <x:f>C796*F796</x:f>
        <x:v>18.25</x:v>
      </x:c>
    </x:row>
    <x:row r="797" ht="15" hidden="0" customHeight="1">
      <x:c r="A797" s="34" t="str">
        <x:v>STU0073</x:v>
      </x:c>
      <x:c r="B797" s="35" t="str">
        <x:v>CSE1OOF - Central examination</x:v>
      </x:c>
      <x:c r="C797" s="35" t="n">
        <x:v>74</x:v>
      </x:c>
      <x:c r="D797"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797"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797" s="35" t="n">
        <x:v>0.4</x:v>
      </x:c>
      <x:c r="G797" s="37" t="n">
        <x:f>C797*F797</x:f>
        <x:v>29.6</x:v>
      </x:c>
    </x:row>
    <x:row r="798" ht="15" hidden="0" customHeight="1">
      <x:c r="A798" s="34" t="str">
        <x:v>STU0073</x:v>
      </x:c>
      <x:c r="B798" s="35" t="str">
        <x:v>CSE2ALG - Test</x:v>
      </x:c>
      <x:c r="C798" s="35" t="n">
        <x:v>72</x:v>
      </x:c>
      <x:c r="D798"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798" s="36" t="str">
        <x:v>SILO1: overall objectives of Algorithms and Data Structures; SILO2: identifying data structures and searching and sorting algorithms in computing contexts; SILO3: implementing data structures and searching and sorting algorithms in Java</x:v>
      </x:c>
      <x:c r="F798" s="35" t="n">
        <x:v>0.2</x:v>
      </x:c>
      <x:c r="G798" s="37" t="n">
        <x:f>C798*F798</x:f>
        <x:v>14.4</x:v>
      </x:c>
    </x:row>
    <x:row r="799" ht="15" hidden="0" customHeight="1">
      <x:c r="A799" s="34" t="str">
        <x:v>STU0073</x:v>
      </x:c>
      <x:c r="B799" s="35" t="str">
        <x:v>CSE2ALG - Assignment</x:v>
      </x:c>
      <x:c r="C799" s="35" t="n">
        <x:v>68</x:v>
      </x:c>
      <x:c r="D799" s="36" t="str">
        <x:v>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x:v>
      </x:c>
      <x:c r="E799"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799" s="35" t="n">
        <x:v>0.3</x:v>
      </x:c>
      <x:c r="G799" s="37" t="n">
        <x:f>C799*F799</x:f>
        <x:v>20.4</x:v>
      </x:c>
    </x:row>
    <x:row r="800" ht="15" hidden="0" customHeight="1">
      <x:c r="A800" s="34" t="str">
        <x:v>STU0073</x:v>
      </x:c>
      <x:c r="B800" s="35" t="str">
        <x:v>CSE2ALG - Central examination</x:v>
      </x:c>
      <x:c r="C800" s="35" t="n">
        <x:v>72</x:v>
      </x:c>
      <x:c r="D800"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800"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800" s="35" t="n">
        <x:v>0.5</x:v>
      </x:c>
      <x:c r="G800" s="37" t="n">
        <x:f>C800*F800</x:f>
        <x:v>36</x:v>
      </x:c>
    </x:row>
    <x:row r="801" ht="15" hidden="0" customHeight="1">
      <x:c r="A801" s="34" t="str">
        <x:v>STU0073</x:v>
      </x:c>
      <x:c r="B801" s="35" t="str">
        <x:v>CSE3CAP - Oral presentation: Project Milestone Presentation</x:v>
      </x:c>
      <x:c r="C801" s="35" t="n">
        <x:v>71</x:v>
      </x:c>
      <x:c r="D801"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801" s="36" t="str">
        <x:v>SILO3: reporting project outcomes to technical and non-technical audiences and reflecting on feedback</x:v>
      </x:c>
      <x:c r="F801" s="35" t="n">
        <x:v>0.1</x:v>
      </x:c>
      <x:c r="G801" s="37" t="n">
        <x:f>C801*F801</x:f>
        <x:v>7.1000000000000005</x:v>
      </x:c>
    </x:row>
    <x:row r="802" ht="15" hidden="0" customHeight="1">
      <x:c r="A802" s="34" t="str">
        <x:v>STU0073</x:v>
      </x:c>
      <x:c r="B802" s="35" t="str">
        <x:v>CSE3CAP - Oral presentation: Final Project Presentation</x:v>
      </x:c>
      <x:c r="C802" s="35" t="n">
        <x:v>72</x:v>
      </x:c>
      <x:c r="D802"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802" s="36" t="str">
        <x:v>SILO3: reporting project outcomes to technical and non-technical audiences and reflecting on feedback</x:v>
      </x:c>
      <x:c r="F802" s="35" t="n">
        <x:v>0.2</x:v>
      </x:c>
      <x:c r="G802" s="37" t="n">
        <x:f>C802*F802</x:f>
        <x:v>14.4</x:v>
      </x:c>
    </x:row>
    <x:row r="803" ht="15" hidden="0" customHeight="1">
      <x:c r="A803" s="34" t="str">
        <x:v>STU0073</x:v>
      </x:c>
      <x:c r="B803" s="35" t="str">
        <x:v>CSE3CAP - Assignment: Final written Project Report</x:v>
      </x:c>
      <x:c r="C803" s="35" t="n">
        <x:v>70</x:v>
      </x:c>
      <x:c r="D803" s="36" t="str">
        <x:v>This sound result shows a competent and generally reliable grasp of the relevant learning themes, particularly industry standard technical solutions in software or cybersecurity practice and professional system documentation and advanced technical reporting to industry standards. To strengthen the result, the student should provide clearer reasoning, improve technical precision and show more complete testing or reflection.</x:v>
      </x:c>
      <x:c r="E803" s="36" t="str">
        <x:v>SILO2: industry standard technical solutions in software or cybersecurity practice; SILO4: professional system documentation and advanced technical reporting to industry standards</x:v>
      </x:c>
      <x:c r="F803" s="35" t="n">
        <x:v>0.35</x:v>
      </x:c>
      <x:c r="G803" s="37" t="n">
        <x:f>C803*F803</x:f>
        <x:v>24.5</x:v>
      </x:c>
    </x:row>
    <x:row r="804" ht="15" hidden="0" customHeight="1">
      <x:c r="A804" s="34" t="str">
        <x:v>STU0073</x:v>
      </x:c>
      <x:c r="B804" s="35" t="str">
        <x:v>CSE3CAP - Assignment: Sprint Project management reports</x:v>
      </x:c>
      <x:c r="C804" s="35" t="n">
        <x:v>73</x:v>
      </x:c>
      <x:c r="D804" s="36" t="str">
        <x:v>This sound result shows a competent and generally reliable grasp of the relevant learning themes, particularly advanced project management during substantive development implementation and industry standard technical solutions in software or cybersecurity practice. To strengthen the result, the student should provide clearer reasoning, improve technical precision and show more complete testing or reflection.</x:v>
      </x:c>
      <x:c r="E804" s="36" t="str">
        <x:v>SILO1: advanced project management during substantive development implementation; SILO2: industry standard technical solutions in software or cybersecurity practice</x:v>
      </x:c>
      <x:c r="F804" s="35" t="n">
        <x:v>0.35</x:v>
      </x:c>
      <x:c r="G804" s="37" t="n">
        <x:f>C804*F804</x:f>
        <x:v>25.549999999999997</x:v>
      </x:c>
    </x:row>
    <x:row r="805" ht="15" hidden="0" customHeight="1">
      <x:c r="A805" s="34" t="str">
        <x:v>STU0074</x:v>
      </x:c>
      <x:c r="B805" s="35" t="str">
        <x:v>CSE1OOF - Test</x:v>
      </x:c>
      <x:c r="C805" s="35" t="n">
        <x:v>50</x:v>
      </x:c>
      <x:c r="D805"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805" s="36" t="str">
        <x:v>SILO1: analysis/design/implementation compared with object-oriented modelling using objects that combine data structure and behaviour; SILO2: abstract data types and encapsulation to localise and minimise change</x:v>
      </x:c>
      <x:c r="F805" s="35" t="n">
        <x:v>0.15</x:v>
      </x:c>
      <x:c r="G805" s="37" t="n">
        <x:f>C805*F805</x:f>
        <x:v>7.5</x:v>
      </x:c>
    </x:row>
    <x:row r="806" ht="15" hidden="0" customHeight="1">
      <x:c r="A806" s="34" t="str">
        <x:v>STU0074</x:v>
      </x:c>
      <x:c r="B806" s="35" t="str">
        <x:v>CSE1OOF - Practical demonstration</x:v>
      </x:c>
      <x:c r="C806" s="35" t="n">
        <x:v>53</x:v>
      </x:c>
      <x:c r="D806"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806" s="36" t="str">
        <x:v>SILO2: abstract data types and encapsulation to localise and minimise change; SILO3: code sharing and reuse through object-oriented techniques to reduce development time; SILO4: object-oriented design and implementation of computer programs for real-life problems</x:v>
      </x:c>
      <x:c r="F806" s="35" t="n">
        <x:v>0.2</x:v>
      </x:c>
      <x:c r="G806" s="37" t="n">
        <x:f>C806*F806</x:f>
        <x:v>10.600000000000001</x:v>
      </x:c>
    </x:row>
    <x:row r="807" ht="15" hidden="0" customHeight="1">
      <x:c r="A807" s="34" t="str">
        <x:v>STU0074</x:v>
      </x:c>
      <x:c r="B807" s="35" t="str">
        <x:v>CSE1OOF - Assignment</x:v>
      </x:c>
      <x:c r="C807" s="35" t="n">
        <x:v>49</x:v>
      </x:c>
      <x:c r="D807" s="36" t="str">
        <x:v>This limited result shows gaps that require targeted revision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student should revisit the core concepts, seek feedback early and practise applying the techniques in smaller, well-tested examples before attempting the full assessment task.</x:v>
      </x:c>
      <x:c r="E807" s="36" t="str">
        <x:v>SILO2: abstract data types and encapsulation to localise and minimise change; SILO3: code sharing and reuse through object-oriented techniques to reduce development time; SILO4: object-oriented design and implementation of computer programs for real-life problems</x:v>
      </x:c>
      <x:c r="F807" s="35" t="n">
        <x:v>0.25</x:v>
      </x:c>
      <x:c r="G807" s="37" t="n">
        <x:f>C807*F807</x:f>
        <x:v>12.25</x:v>
      </x:c>
    </x:row>
    <x:row r="808" ht="15" hidden="0" customHeight="1">
      <x:c r="A808" s="34" t="str">
        <x:v>STU0074</x:v>
      </x:c>
      <x:c r="B808" s="35" t="str">
        <x:v>CSE1OOF - Central examination</x:v>
      </x:c>
      <x:c r="C808" s="35" t="n">
        <x:v>48</x:v>
      </x:c>
      <x:c r="D808" s="36" t="str">
        <x:v>This limited result shows gaps that require targeted revision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The student should revisit the core concepts, seek feedback early and practise applying the techniques in smaller, well-tested examples before attempting the full assessment task.</x:v>
      </x:c>
      <x:c r="E808"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808" s="35" t="n">
        <x:v>0.4</x:v>
      </x:c>
      <x:c r="G808" s="37" t="n">
        <x:f>C808*F808</x:f>
        <x:v>19.200000000000003</x:v>
      </x:c>
    </x:row>
    <x:row r="809" ht="15" hidden="0" customHeight="1">
      <x:c r="A809" s="34" t="str">
        <x:v>STU0074</x:v>
      </x:c>
      <x:c r="B809" s="35" t="str">
        <x:v>CSE2ALG - Test</x:v>
      </x:c>
      <x:c r="C809" s="35" t="n">
        <x:v>56</x:v>
      </x:c>
      <x:c r="D809"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809" s="36" t="str">
        <x:v>SILO1: overall objectives of Algorithms and Data Structures; SILO2: identifying data structures and searching and sorting algorithms in computing contexts; SILO3: implementing data structures and searching and sorting algorithms in Java</x:v>
      </x:c>
      <x:c r="F809" s="35" t="n">
        <x:v>0.2</x:v>
      </x:c>
      <x:c r="G809" s="37" t="n">
        <x:f>C809*F809</x:f>
        <x:v>11.200000000000001</x:v>
      </x:c>
    </x:row>
    <x:row r="810" ht="15" hidden="0" customHeight="1">
      <x:c r="A810" s="34" t="str">
        <x:v>STU0074</x:v>
      </x:c>
      <x:c r="B810" s="35" t="str">
        <x:v>CSE2ALG - Assignment</x:v>
      </x:c>
      <x:c r="C810" s="35" t="n">
        <x:v>55</x:v>
      </x:c>
      <x:c r="D810"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810"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810" s="35" t="n">
        <x:v>0.3</x:v>
      </x:c>
      <x:c r="G810" s="37" t="n">
        <x:f>C810*F810</x:f>
        <x:v>16.5</x:v>
      </x:c>
    </x:row>
    <x:row r="811" ht="15" hidden="0" customHeight="1">
      <x:c r="A811" s="34" t="str">
        <x:v>STU0074</x:v>
      </x:c>
      <x:c r="B811" s="35" t="str">
        <x:v>CSE2ALG - Central examination</x:v>
      </x:c>
      <x:c r="C811" s="35" t="n">
        <x:v>55</x:v>
      </x:c>
      <x:c r="D811" s="36" t="str">
        <x:v>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x:v>
      </x:c>
      <x:c r="E811"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811" s="35" t="n">
        <x:v>0.5</x:v>
      </x:c>
      <x:c r="G811" s="37" t="n">
        <x:f>C811*F811</x:f>
        <x:v>27.5</x:v>
      </x:c>
    </x:row>
    <x:row r="812" ht="15" hidden="0" customHeight="1">
      <x:c r="A812" s="34" t="str">
        <x:v>STU0074</x:v>
      </x:c>
      <x:c r="B812" s="35" t="str">
        <x:v>CSE3CAP - Oral presentation: Project Milestone Presentation</x:v>
      </x:c>
      <x:c r="C812" s="35" t="n">
        <x:v>51</x:v>
      </x:c>
      <x:c r="D812"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812" s="36" t="str">
        <x:v>SILO3: reporting project outcomes to technical and non-technical audiences and reflecting on feedback</x:v>
      </x:c>
      <x:c r="F812" s="35" t="n">
        <x:v>0.1</x:v>
      </x:c>
      <x:c r="G812" s="37" t="n">
        <x:f>C812*F812</x:f>
        <x:v>5.1000000000000005</x:v>
      </x:c>
    </x:row>
    <x:row r="813" ht="15" hidden="0" customHeight="1">
      <x:c r="A813" s="34" t="str">
        <x:v>STU0074</x:v>
      </x:c>
      <x:c r="B813" s="35" t="str">
        <x:v>CSE3CAP - Oral presentation: Final Project Presentation</x:v>
      </x:c>
      <x:c r="C813" s="35" t="n">
        <x:v>48</x:v>
      </x:c>
      <x:c r="D813" s="36" t="str">
        <x:v>This limited result shows gaps that require targeted revision of the relevant learning themes, particularly reporting project outcomes to technical and non-technical audiences and reflecting on feedback. The student should revisit the core concepts, seek feedback early and practise applying the techniques in smaller, well-tested examples before attempting the full assessment task.</x:v>
      </x:c>
      <x:c r="E813" s="36" t="str">
        <x:v>SILO3: reporting project outcomes to technical and non-technical audiences and reflecting on feedback</x:v>
      </x:c>
      <x:c r="F813" s="35" t="n">
        <x:v>0.2</x:v>
      </x:c>
      <x:c r="G813" s="37" t="n">
        <x:f>C813*F813</x:f>
        <x:v>9.600000000000001</x:v>
      </x:c>
    </x:row>
    <x:row r="814" ht="15" hidden="0" customHeight="1">
      <x:c r="A814" s="34" t="str">
        <x:v>STU0074</x:v>
      </x:c>
      <x:c r="B814" s="35" t="str">
        <x:v>CSE3CAP - Assignment: Final written Project Report</x:v>
      </x:c>
      <x:c r="C814" s="35" t="n">
        <x:v>51</x:v>
      </x:c>
      <x:c r="D814"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814" s="36" t="str">
        <x:v>SILO2: industry standard technical solutions in software or cybersecurity practice; SILO4: professional system documentation and advanced technical reporting to industry standards</x:v>
      </x:c>
      <x:c r="F814" s="35" t="n">
        <x:v>0.35</x:v>
      </x:c>
      <x:c r="G814" s="37" t="n">
        <x:f>C814*F814</x:f>
        <x:v>17.849999999999998</x:v>
      </x:c>
    </x:row>
    <x:row r="815" ht="15" hidden="0" customHeight="1">
      <x:c r="A815" s="34" t="str">
        <x:v>STU0074</x:v>
      </x:c>
      <x:c r="B815" s="35" t="str">
        <x:v>CSE3CAP - Assignment: Sprint Project management reports</x:v>
      </x:c>
      <x:c r="C815" s="35" t="n">
        <x:v>47</x:v>
      </x:c>
      <x:c r="D815" s="36" t="str">
        <x:v>This limited result shows gaps that require targeted revision of the relevant learning themes, particularly advanced project management during substantive development implementation and industry standard technical solutions in software or cybersecurity practice. The student should revisit the core concepts, seek feedback early and practise applying the techniques in smaller, well-tested examples before attempting the full assessment task.</x:v>
      </x:c>
      <x:c r="E815" s="36" t="str">
        <x:v>SILO1: advanced project management during substantive development implementation; SILO2: industry standard technical solutions in software or cybersecurity practice</x:v>
      </x:c>
      <x:c r="F815" s="35" t="n">
        <x:v>0.35</x:v>
      </x:c>
      <x:c r="G815" s="37" t="n">
        <x:f>C815*F815</x:f>
        <x:v>16.45</x:v>
      </x:c>
    </x:row>
    <x:row r="816" ht="15" hidden="0" customHeight="1">
      <x:c r="A816" s="34" t="str">
        <x:v>STU0075</x:v>
      </x:c>
      <x:c r="B816" s="35" t="str">
        <x:v>CSE1OOF - Test</x:v>
      </x:c>
      <x:c r="C816" s="35" t="n">
        <x:v>71</x:v>
      </x:c>
      <x:c r="D816"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816" s="36" t="str">
        <x:v>SILO1: analysis/design/implementation compared with object-oriented modelling using objects that combine data structure and behaviour; SILO2: abstract data types and encapsulation to localise and minimise change</x:v>
      </x:c>
      <x:c r="F816" s="35" t="n">
        <x:v>0.15</x:v>
      </x:c>
      <x:c r="G816" s="37" t="n">
        <x:f>C816*F816</x:f>
        <x:v>10.65</x:v>
      </x:c>
    </x:row>
    <x:row r="817" ht="15" hidden="0" customHeight="1">
      <x:c r="A817" s="34" t="str">
        <x:v>STU0075</x:v>
      </x:c>
      <x:c r="B817" s="35" t="str">
        <x:v>CSE1OOF - Practical demonstration</x:v>
      </x:c>
      <x:c r="C817" s="35" t="n">
        <x:v>73</x:v>
      </x:c>
      <x:c r="D817"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817" s="36" t="str">
        <x:v>SILO2: abstract data types and encapsulation to localise and minimise change; SILO3: code sharing and reuse through object-oriented techniques to reduce development time; SILO4: object-oriented design and implementation of computer programs for real-life problems</x:v>
      </x:c>
      <x:c r="F817" s="35" t="n">
        <x:v>0.2</x:v>
      </x:c>
      <x:c r="G817" s="37" t="n">
        <x:f>C817*F817</x:f>
        <x:v>14.600000000000001</x:v>
      </x:c>
    </x:row>
    <x:row r="818" ht="15" hidden="0" customHeight="1">
      <x:c r="A818" s="34" t="str">
        <x:v>STU0075</x:v>
      </x:c>
      <x:c r="B818" s="35" t="str">
        <x:v>CSE1OOF - Assignment</x:v>
      </x:c>
      <x:c r="C818" s="35" t="n">
        <x:v>74</x:v>
      </x:c>
      <x:c r="D818"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818" s="36" t="str">
        <x:v>SILO2: abstract data types and encapsulation to localise and minimise change; SILO3: code sharing and reuse through object-oriented techniques to reduce development time; SILO4: object-oriented design and implementation of computer programs for real-life problems</x:v>
      </x:c>
      <x:c r="F818" s="35" t="n">
        <x:v>0.25</x:v>
      </x:c>
      <x:c r="G818" s="37" t="n">
        <x:f>C818*F818</x:f>
        <x:v>18.5</x:v>
      </x:c>
    </x:row>
    <x:row r="819" ht="15" hidden="0" customHeight="1">
      <x:c r="A819" s="34" t="str">
        <x:v>STU0075</x:v>
      </x:c>
      <x:c r="B819" s="35" t="str">
        <x:v>CSE1OOF - Central examination</x:v>
      </x:c>
      <x:c r="C819" s="35" t="n">
        <x:v>71</x:v>
      </x:c>
      <x:c r="D819"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819"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819" s="35" t="n">
        <x:v>0.4</x:v>
      </x:c>
      <x:c r="G819" s="37" t="n">
        <x:f>C819*F819</x:f>
        <x:v>28.400000000000002</x:v>
      </x:c>
    </x:row>
    <x:row r="820" ht="15" hidden="0" customHeight="1">
      <x:c r="A820" s="34" t="str">
        <x:v>STU0075</x:v>
      </x:c>
      <x:c r="B820" s="35" t="str">
        <x:v>CSE2ALG - Test</x:v>
      </x:c>
      <x:c r="C820" s="35" t="n">
        <x:v>73</x:v>
      </x:c>
      <x:c r="D820"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820" s="36" t="str">
        <x:v>SILO1: overall objectives of Algorithms and Data Structures; SILO2: identifying data structures and searching and sorting algorithms in computing contexts; SILO3: implementing data structures and searching and sorting algorithms in Java</x:v>
      </x:c>
      <x:c r="F820" s="35" t="n">
        <x:v>0.2</x:v>
      </x:c>
      <x:c r="G820" s="37" t="n">
        <x:f>C820*F820</x:f>
        <x:v>14.600000000000001</x:v>
      </x:c>
    </x:row>
    <x:row r="821" ht="15" hidden="0" customHeight="1">
      <x:c r="A821" s="34" t="str">
        <x:v>STU0075</x:v>
      </x:c>
      <x:c r="B821" s="35" t="str">
        <x:v>CSE2ALG - Assignment</x:v>
      </x:c>
      <x:c r="C821" s="35" t="n">
        <x:v>72</x:v>
      </x:c>
      <x:c r="D821" s="36" t="str">
        <x:v>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x:v>
      </x:c>
      <x:c r="E821"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821" s="35" t="n">
        <x:v>0.3</x:v>
      </x:c>
      <x:c r="G821" s="37" t="n">
        <x:f>C821*F821</x:f>
        <x:v>21.599999999999998</x:v>
      </x:c>
    </x:row>
    <x:row r="822" ht="15" hidden="0" customHeight="1">
      <x:c r="A822" s="34" t="str">
        <x:v>STU0075</x:v>
      </x:c>
      <x:c r="B822" s="35" t="str">
        <x:v>CSE2ALG - Central examination</x:v>
      </x:c>
      <x:c r="C822" s="35" t="n">
        <x:v>75</x:v>
      </x:c>
      <x:c r="D822" s="36" t="str">
        <x:v>This strong result shows well-developed understanding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Further improvement would come from deeper justification, more consistent evaluation evidence and tighter links between decisions and implementation details.</x:v>
      </x:c>
      <x:c r="E822"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822" s="35" t="n">
        <x:v>0.5</x:v>
      </x:c>
      <x:c r="G822" s="37" t="n">
        <x:f>C822*F822</x:f>
        <x:v>37.5</x:v>
      </x:c>
    </x:row>
    <x:row r="823" ht="15" hidden="0" customHeight="1">
      <x:c r="A823" s="34" t="str">
        <x:v>STU0075</x:v>
      </x:c>
      <x:c r="B823" s="35" t="str">
        <x:v>CSE3CAP - Oral presentation: Project Milestone Presentation</x:v>
      </x:c>
      <x:c r="C823" s="35" t="n">
        <x:v>77</x:v>
      </x:c>
      <x:c r="D823"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823" s="36" t="str">
        <x:v>SILO3: reporting project outcomes to technical and non-technical audiences and reflecting on feedback</x:v>
      </x:c>
      <x:c r="F823" s="35" t="n">
        <x:v>0.1</x:v>
      </x:c>
      <x:c r="G823" s="37" t="n">
        <x:f>C823*F823</x:f>
        <x:v>7.7</x:v>
      </x:c>
    </x:row>
    <x:row r="824" ht="15" hidden="0" customHeight="1">
      <x:c r="A824" s="34" t="str">
        <x:v>STU0075</x:v>
      </x:c>
      <x:c r="B824" s="35" t="str">
        <x:v>CSE3CAP - Oral presentation: Final Project Presentation</x:v>
      </x:c>
      <x:c r="C824" s="35" t="n">
        <x:v>82</x:v>
      </x:c>
      <x:c r="D824"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824" s="36" t="str">
        <x:v>SILO3: reporting project outcomes to technical and non-technical audiences and reflecting on feedback</x:v>
      </x:c>
      <x:c r="F824" s="35" t="n">
        <x:v>0.2</x:v>
      </x:c>
      <x:c r="G824" s="37" t="n">
        <x:f>C824*F824</x:f>
        <x:v>16.400000000000002</x:v>
      </x:c>
    </x:row>
    <x:row r="825" ht="15" hidden="0" customHeight="1">
      <x:c r="A825" s="34" t="str">
        <x:v>STU0075</x:v>
      </x:c>
      <x:c r="B825" s="35" t="str">
        <x:v>CSE3CAP - Assignment: Final written Project Report</x:v>
      </x:c>
      <x:c r="C825" s="35" t="n">
        <x:v>79</x:v>
      </x:c>
      <x:c r="D825" s="36" t="str">
        <x:v>This strong result shows well-developed understanding of the relevant learning themes, particularly industry standard technical solutions in software or cybersecurity practice and professional system documentation and advanced technical reporting to industry standards. Further improvement would come from deeper justification, more consistent evaluation evidence and tighter links between decisions and implementation details.</x:v>
      </x:c>
      <x:c r="E825" s="36" t="str">
        <x:v>SILO2: industry standard technical solutions in software or cybersecurity practice; SILO4: professional system documentation and advanced technical reporting to industry standards</x:v>
      </x:c>
      <x:c r="F825" s="35" t="n">
        <x:v>0.35</x:v>
      </x:c>
      <x:c r="G825" s="37" t="n">
        <x:f>C825*F825</x:f>
        <x:v>27.65</x:v>
      </x:c>
    </x:row>
    <x:row r="826" ht="15" hidden="0" customHeight="1">
      <x:c r="A826" s="34" t="str">
        <x:v>STU0075</x:v>
      </x:c>
      <x:c r="B826" s="35" t="str">
        <x:v>CSE3CAP - Assignment: Sprint Project management reports</x:v>
      </x:c>
      <x:c r="C826" s="35" t="n">
        <x:v>78</x:v>
      </x:c>
      <x:c r="D826" s="36" t="str">
        <x:v>This strong result shows well-developed understanding of the relevant learning themes, particularly advanced project management during substantive development implementation and industry standard technical solutions in software or cybersecurity practice. Further improvement would come from deeper justification, more consistent evaluation evidence and tighter links between decisions and implementation details.</x:v>
      </x:c>
      <x:c r="E826" s="36" t="str">
        <x:v>SILO1: advanced project management during substantive development implementation; SILO2: industry standard technical solutions in software or cybersecurity practice</x:v>
      </x:c>
      <x:c r="F826" s="35" t="n">
        <x:v>0.35</x:v>
      </x:c>
      <x:c r="G826" s="37" t="n">
        <x:f>C826*F826</x:f>
        <x:v>27.299999999999997</x:v>
      </x:c>
    </x:row>
    <x:row r="827" ht="15" hidden="0" customHeight="1">
      <x:c r="A827" s="34" t="str">
        <x:v>STU0076</x:v>
      </x:c>
      <x:c r="B827" s="35" t="str">
        <x:v>CSE1OOF - Test</x:v>
      </x:c>
      <x:c r="C827" s="35" t="n">
        <x:v>69</x:v>
      </x:c>
      <x:c r="D827"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827" s="36" t="str">
        <x:v>SILO1: analysis/design/implementation compared with object-oriented modelling using objects that combine data structure and behaviour; SILO2: abstract data types and encapsulation to localise and minimise change</x:v>
      </x:c>
      <x:c r="F827" s="35" t="n">
        <x:v>0.15</x:v>
      </x:c>
      <x:c r="G827" s="37" t="n">
        <x:f>C827*F827</x:f>
        <x:v>10.35</x:v>
      </x:c>
    </x:row>
    <x:row r="828" ht="15" hidden="0" customHeight="1">
      <x:c r="A828" s="34" t="str">
        <x:v>STU0076</x:v>
      </x:c>
      <x:c r="B828" s="35" t="str">
        <x:v>CSE1OOF - Practical demonstration</x:v>
      </x:c>
      <x:c r="C828" s="35" t="n">
        <x:v>71</x:v>
      </x:c>
      <x:c r="D828"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828" s="36" t="str">
        <x:v>SILO2: abstract data types and encapsulation to localise and minimise change; SILO3: code sharing and reuse through object-oriented techniques to reduce development time; SILO4: object-oriented design and implementation of computer programs for real-life problems</x:v>
      </x:c>
      <x:c r="F828" s="35" t="n">
        <x:v>0.2</x:v>
      </x:c>
      <x:c r="G828" s="37" t="n">
        <x:f>C828*F828</x:f>
        <x:v>14.200000000000001</x:v>
      </x:c>
    </x:row>
    <x:row r="829" ht="15" hidden="0" customHeight="1">
      <x:c r="A829" s="34" t="str">
        <x:v>STU0076</x:v>
      </x:c>
      <x:c r="B829" s="35" t="str">
        <x:v>CSE1OOF - Assignment</x:v>
      </x:c>
      <x:c r="C829" s="35" t="n">
        <x:v>65</x:v>
      </x:c>
      <x:c r="D829"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829" s="36" t="str">
        <x:v>SILO2: abstract data types and encapsulation to localise and minimise change; SILO3: code sharing and reuse through object-oriented techniques to reduce development time; SILO4: object-oriented design and implementation of computer programs for real-life problems</x:v>
      </x:c>
      <x:c r="F829" s="35" t="n">
        <x:v>0.25</x:v>
      </x:c>
      <x:c r="G829" s="37" t="n">
        <x:f>C829*F829</x:f>
        <x:v>16.25</x:v>
      </x:c>
    </x:row>
    <x:row r="830" ht="15" hidden="0" customHeight="1">
      <x:c r="A830" s="34" t="str">
        <x:v>STU0076</x:v>
      </x:c>
      <x:c r="B830" s="35" t="str">
        <x:v>CSE1OOF - Central examination</x:v>
      </x:c>
      <x:c r="C830" s="35" t="n">
        <x:v>69</x:v>
      </x:c>
      <x:c r="D830"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830"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830" s="35" t="n">
        <x:v>0.4</x:v>
      </x:c>
      <x:c r="G830" s="37" t="n">
        <x:f>C830*F830</x:f>
        <x:v>27.6</x:v>
      </x:c>
    </x:row>
    <x:row r="831" ht="15" hidden="0" customHeight="1">
      <x:c r="A831" s="34" t="str">
        <x:v>STU0076</x:v>
      </x:c>
      <x:c r="B831" s="35" t="str">
        <x:v>CSE2ALG - Test</x:v>
      </x:c>
      <x:c r="C831" s="35" t="n">
        <x:v>71</x:v>
      </x:c>
      <x:c r="D831"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831" s="36" t="str">
        <x:v>SILO1: overall objectives of Algorithms and Data Structures; SILO2: identifying data structures and searching and sorting algorithms in computing contexts; SILO3: implementing data structures and searching and sorting algorithms in Java</x:v>
      </x:c>
      <x:c r="F831" s="35" t="n">
        <x:v>0.2</x:v>
      </x:c>
      <x:c r="G831" s="37" t="n">
        <x:f>C831*F831</x:f>
        <x:v>14.200000000000001</x:v>
      </x:c>
    </x:row>
    <x:row r="832" ht="15" hidden="0" customHeight="1">
      <x:c r="A832" s="34" t="str">
        <x:v>STU0076</x:v>
      </x:c>
      <x:c r="B832" s="35" t="str">
        <x:v>CSE2ALG - Assignment</x:v>
      </x:c>
      <x:c r="C832" s="35" t="n">
        <x:v>70</x:v>
      </x:c>
      <x:c r="D832" s="36" t="str">
        <x:v>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x:v>
      </x:c>
      <x:c r="E832"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832" s="35" t="n">
        <x:v>0.3</x:v>
      </x:c>
      <x:c r="G832" s="37" t="n">
        <x:f>C832*F832</x:f>
        <x:v>21</x:v>
      </x:c>
    </x:row>
    <x:row r="833" ht="15" hidden="0" customHeight="1">
      <x:c r="A833" s="34" t="str">
        <x:v>STU0076</x:v>
      </x:c>
      <x:c r="B833" s="35" t="str">
        <x:v>CSE2ALG - Central examination</x:v>
      </x:c>
      <x:c r="C833" s="35" t="n">
        <x:v>66</x:v>
      </x:c>
      <x:c r="D833"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833"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833" s="35" t="n">
        <x:v>0.5</x:v>
      </x:c>
      <x:c r="G833" s="37" t="n">
        <x:f>C833*F833</x:f>
        <x:v>33</x:v>
      </x:c>
    </x:row>
    <x:row r="834" ht="15" hidden="0" customHeight="1">
      <x:c r="A834" s="34" t="str">
        <x:v>STU0076</x:v>
      </x:c>
      <x:c r="B834" s="35" t="str">
        <x:v>CSE3CAP - Oral presentation: Project Milestone Presentation</x:v>
      </x:c>
      <x:c r="C834" s="35" t="n">
        <x:v>71</x:v>
      </x:c>
      <x:c r="D834"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834" s="36" t="str">
        <x:v>SILO3: reporting project outcomes to technical and non-technical audiences and reflecting on feedback</x:v>
      </x:c>
      <x:c r="F834" s="35" t="n">
        <x:v>0.1</x:v>
      </x:c>
      <x:c r="G834" s="37" t="n">
        <x:f>C834*F834</x:f>
        <x:v>7.1000000000000005</x:v>
      </x:c>
    </x:row>
    <x:row r="835" ht="15" hidden="0" customHeight="1">
      <x:c r="A835" s="34" t="str">
        <x:v>STU0076</x:v>
      </x:c>
      <x:c r="B835" s="35" t="str">
        <x:v>CSE3CAP - Oral presentation: Final Project Presentation</x:v>
      </x:c>
      <x:c r="C835" s="35" t="n">
        <x:v>73</x:v>
      </x:c>
      <x:c r="D835"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835" s="36" t="str">
        <x:v>SILO3: reporting project outcomes to technical and non-technical audiences and reflecting on feedback</x:v>
      </x:c>
      <x:c r="F835" s="35" t="n">
        <x:v>0.2</x:v>
      </x:c>
      <x:c r="G835" s="37" t="n">
        <x:f>C835*F835</x:f>
        <x:v>14.600000000000001</x:v>
      </x:c>
    </x:row>
    <x:row r="836" ht="15" hidden="0" customHeight="1">
      <x:c r="A836" s="34" t="str">
        <x:v>STU0076</x:v>
      </x:c>
      <x:c r="B836" s="35" t="str">
        <x:v>CSE3CAP - Assignment: Final written Project Report</x:v>
      </x:c>
      <x:c r="C836" s="35" t="n">
        <x:v>71</x:v>
      </x:c>
      <x:c r="D836" s="36" t="str">
        <x:v>This sound result shows a competent and generally reliable grasp of the relevant learning themes, particularly industry standard technical solutions in software or cybersecurity practice and professional system documentation and advanced technical reporting to industry standards. To strengthen the result, the student should provide clearer reasoning, improve technical precision and show more complete testing or reflection.</x:v>
      </x:c>
      <x:c r="E836" s="36" t="str">
        <x:v>SILO2: industry standard technical solutions in software or cybersecurity practice; SILO4: professional system documentation and advanced technical reporting to industry standards</x:v>
      </x:c>
      <x:c r="F836" s="35" t="n">
        <x:v>0.35</x:v>
      </x:c>
      <x:c r="G836" s="37" t="n">
        <x:f>C836*F836</x:f>
        <x:v>24.849999999999998</x:v>
      </x:c>
    </x:row>
    <x:row r="837" ht="15" hidden="0" customHeight="1">
      <x:c r="A837" s="34" t="str">
        <x:v>STU0076</x:v>
      </x:c>
      <x:c r="B837" s="35" t="str">
        <x:v>CSE3CAP - Assignment: Sprint Project management reports</x:v>
      </x:c>
      <x:c r="C837" s="35" t="n">
        <x:v>70</x:v>
      </x:c>
      <x:c r="D837" s="36" t="str">
        <x:v>This sound result shows a competent and generally reliable grasp of the relevant learning themes, particularly advanced project management during substantive development implementation and industry standard technical solutions in software or cybersecurity practice. To strengthen the result, the student should provide clearer reasoning, improve technical precision and show more complete testing or reflection.</x:v>
      </x:c>
      <x:c r="E837" s="36" t="str">
        <x:v>SILO1: advanced project management during substantive development implementation; SILO2: industry standard technical solutions in software or cybersecurity practice</x:v>
      </x:c>
      <x:c r="F837" s="35" t="n">
        <x:v>0.35</x:v>
      </x:c>
      <x:c r="G837" s="37" t="n">
        <x:f>C837*F837</x:f>
        <x:v>24.5</x:v>
      </x:c>
    </x:row>
    <x:row r="838" ht="15" hidden="0" customHeight="1">
      <x:c r="A838" s="34" t="str">
        <x:v>STU0077</x:v>
      </x:c>
      <x:c r="B838" s="35" t="str">
        <x:v>CSE1OOF - Test</x:v>
      </x:c>
      <x:c r="C838" s="35" t="n">
        <x:v>71</x:v>
      </x:c>
      <x:c r="D838"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838" s="36" t="str">
        <x:v>SILO1: analysis/design/implementation compared with object-oriented modelling using objects that combine data structure and behaviour; SILO2: abstract data types and encapsulation to localise and minimise change</x:v>
      </x:c>
      <x:c r="F838" s="35" t="n">
        <x:v>0.15</x:v>
      </x:c>
      <x:c r="G838" s="37" t="n">
        <x:f>C838*F838</x:f>
        <x:v>10.65</x:v>
      </x:c>
    </x:row>
    <x:row r="839" ht="15" hidden="0" customHeight="1">
      <x:c r="A839" s="34" t="str">
        <x:v>STU0077</x:v>
      </x:c>
      <x:c r="B839" s="35" t="str">
        <x:v>CSE1OOF - Practical demonstration</x:v>
      </x:c>
      <x:c r="C839" s="35" t="n">
        <x:v>68</x:v>
      </x:c>
      <x:c r="D839"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839" s="36" t="str">
        <x:v>SILO2: abstract data types and encapsulation to localise and minimise change; SILO3: code sharing and reuse through object-oriented techniques to reduce development time; SILO4: object-oriented design and implementation of computer programs for real-life problems</x:v>
      </x:c>
      <x:c r="F839" s="35" t="n">
        <x:v>0.2</x:v>
      </x:c>
      <x:c r="G839" s="37" t="n">
        <x:f>C839*F839</x:f>
        <x:v>13.600000000000001</x:v>
      </x:c>
    </x:row>
    <x:row r="840" ht="15" hidden="0" customHeight="1">
      <x:c r="A840" s="34" t="str">
        <x:v>STU0077</x:v>
      </x:c>
      <x:c r="B840" s="35" t="str">
        <x:v>CSE1OOF - Assignment</x:v>
      </x:c>
      <x:c r="C840" s="35" t="n">
        <x:v>72</x:v>
      </x:c>
      <x:c r="D840"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840" s="36" t="str">
        <x:v>SILO2: abstract data types and encapsulation to localise and minimise change; SILO3: code sharing and reuse through object-oriented techniques to reduce development time; SILO4: object-oriented design and implementation of computer programs for real-life problems</x:v>
      </x:c>
      <x:c r="F840" s="35" t="n">
        <x:v>0.25</x:v>
      </x:c>
      <x:c r="G840" s="37" t="n">
        <x:f>C840*F840</x:f>
        <x:v>18</x:v>
      </x:c>
    </x:row>
    <x:row r="841" ht="15" hidden="0" customHeight="1">
      <x:c r="A841" s="34" t="str">
        <x:v>STU0077</x:v>
      </x:c>
      <x:c r="B841" s="35" t="str">
        <x:v>CSE1OOF - Central examination</x:v>
      </x:c>
      <x:c r="C841" s="35" t="n">
        <x:v>67</x:v>
      </x:c>
      <x:c r="D841"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841"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841" s="35" t="n">
        <x:v>0.4</x:v>
      </x:c>
      <x:c r="G841" s="37" t="n">
        <x:f>C841*F841</x:f>
        <x:v>26.8</x:v>
      </x:c>
    </x:row>
    <x:row r="842" ht="15" hidden="0" customHeight="1">
      <x:c r="A842" s="34" t="str">
        <x:v>STU0077</x:v>
      </x:c>
      <x:c r="B842" s="35" t="str">
        <x:v>CSE2ALG - Test</x:v>
      </x:c>
      <x:c r="C842" s="35" t="n">
        <x:v>69</x:v>
      </x:c>
      <x:c r="D842"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842" s="36" t="str">
        <x:v>SILO1: overall objectives of Algorithms and Data Structures; SILO2: identifying data structures and searching and sorting algorithms in computing contexts; SILO3: implementing data structures and searching and sorting algorithms in Java</x:v>
      </x:c>
      <x:c r="F842" s="35" t="n">
        <x:v>0.2</x:v>
      </x:c>
      <x:c r="G842" s="37" t="n">
        <x:f>C842*F842</x:f>
        <x:v>13.8</x:v>
      </x:c>
    </x:row>
    <x:row r="843" ht="15" hidden="0" customHeight="1">
      <x:c r="A843" s="34" t="str">
        <x:v>STU0077</x:v>
      </x:c>
      <x:c r="B843" s="35" t="str">
        <x:v>CSE2ALG - Assignment</x:v>
      </x:c>
      <x:c r="C843" s="35" t="n">
        <x:v>69</x:v>
      </x:c>
      <x:c r="D843" s="36" t="str">
        <x:v>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x:v>
      </x:c>
      <x:c r="E843"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843" s="35" t="n">
        <x:v>0.3</x:v>
      </x:c>
      <x:c r="G843" s="37" t="n">
        <x:f>C843*F843</x:f>
        <x:v>20.7</x:v>
      </x:c>
    </x:row>
    <x:row r="844" ht="15" hidden="0" customHeight="1">
      <x:c r="A844" s="34" t="str">
        <x:v>STU0077</x:v>
      </x:c>
      <x:c r="B844" s="35" t="str">
        <x:v>CSE2ALG - Central examination</x:v>
      </x:c>
      <x:c r="C844" s="35" t="n">
        <x:v>70</x:v>
      </x:c>
      <x:c r="D844"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844"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844" s="35" t="n">
        <x:v>0.5</x:v>
      </x:c>
      <x:c r="G844" s="37" t="n">
        <x:f>C844*F844</x:f>
        <x:v>35</x:v>
      </x:c>
    </x:row>
    <x:row r="845" ht="15" hidden="0" customHeight="1">
      <x:c r="A845" s="34" t="str">
        <x:v>STU0077</x:v>
      </x:c>
      <x:c r="B845" s="35" t="str">
        <x:v>CSE3CAP - Oral presentation: Project Milestone Presentation</x:v>
      </x:c>
      <x:c r="C845" s="35" t="n">
        <x:v>75</x:v>
      </x:c>
      <x:c r="D845"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845" s="36" t="str">
        <x:v>SILO3: reporting project outcomes to technical and non-technical audiences and reflecting on feedback</x:v>
      </x:c>
      <x:c r="F845" s="35" t="n">
        <x:v>0.1</x:v>
      </x:c>
      <x:c r="G845" s="37" t="n">
        <x:f>C845*F845</x:f>
        <x:v>7.5</x:v>
      </x:c>
    </x:row>
    <x:row r="846" ht="15" hidden="0" customHeight="1">
      <x:c r="A846" s="34" t="str">
        <x:v>STU0077</x:v>
      </x:c>
      <x:c r="B846" s="35" t="str">
        <x:v>CSE3CAP - Oral presentation: Final Project Presentation</x:v>
      </x:c>
      <x:c r="C846" s="35" t="n">
        <x:v>72</x:v>
      </x:c>
      <x:c r="D846"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846" s="36" t="str">
        <x:v>SILO3: reporting project outcomes to technical and non-technical audiences and reflecting on feedback</x:v>
      </x:c>
      <x:c r="F846" s="35" t="n">
        <x:v>0.2</x:v>
      </x:c>
      <x:c r="G846" s="37" t="n">
        <x:f>C846*F846</x:f>
        <x:v>14.4</x:v>
      </x:c>
    </x:row>
    <x:row r="847" ht="15" hidden="0" customHeight="1">
      <x:c r="A847" s="34" t="str">
        <x:v>STU0077</x:v>
      </x:c>
      <x:c r="B847" s="35" t="str">
        <x:v>CSE3CAP - Assignment: Final written Project Report</x:v>
      </x:c>
      <x:c r="C847" s="35" t="n">
        <x:v>76</x:v>
      </x:c>
      <x:c r="D847" s="36" t="str">
        <x:v>This strong result shows well-developed understanding of the relevant learning themes, particularly industry standard technical solutions in software or cybersecurity practice and professional system documentation and advanced technical reporting to industry standards. Further improvement would come from deeper justification, more consistent evaluation evidence and tighter links between decisions and implementation details.</x:v>
      </x:c>
      <x:c r="E847" s="36" t="str">
        <x:v>SILO2: industry standard technical solutions in software or cybersecurity practice; SILO4: professional system documentation and advanced technical reporting to industry standards</x:v>
      </x:c>
      <x:c r="F847" s="35" t="n">
        <x:v>0.35</x:v>
      </x:c>
      <x:c r="G847" s="37" t="n">
        <x:f>C847*F847</x:f>
        <x:v>26.599999999999998</x:v>
      </x:c>
    </x:row>
    <x:row r="848" ht="15" hidden="0" customHeight="1">
      <x:c r="A848" s="34" t="str">
        <x:v>STU0077</x:v>
      </x:c>
      <x:c r="B848" s="35" t="str">
        <x:v>CSE3CAP - Assignment: Sprint Project management reports</x:v>
      </x:c>
      <x:c r="C848" s="35" t="n">
        <x:v>72</x:v>
      </x:c>
      <x:c r="D848" s="36" t="str">
        <x:v>This sound result shows a competent and generally reliable grasp of the relevant learning themes, particularly advanced project management during substantive development implementation and industry standard technical solutions in software or cybersecurity practice. To strengthen the result, the student should provide clearer reasoning, improve technical precision and show more complete testing or reflection.</x:v>
      </x:c>
      <x:c r="E848" s="36" t="str">
        <x:v>SILO1: advanced project management during substantive development implementation; SILO2: industry standard technical solutions in software or cybersecurity practice</x:v>
      </x:c>
      <x:c r="F848" s="35" t="n">
        <x:v>0.35</x:v>
      </x:c>
      <x:c r="G848" s="37" t="n">
        <x:f>C848*F848</x:f>
        <x:v>25.2</x:v>
      </x:c>
    </x:row>
    <x:row r="849" ht="15" hidden="0" customHeight="1">
      <x:c r="A849" s="34" t="str">
        <x:v>STU0078</x:v>
      </x:c>
      <x:c r="B849" s="35" t="str">
        <x:v>CSE1OOF - Test</x:v>
      </x:c>
      <x:c r="C849" s="35" t="n">
        <x:v>74</x:v>
      </x:c>
      <x:c r="D849"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849" s="36" t="str">
        <x:v>SILO1: analysis/design/implementation compared with object-oriented modelling using objects that combine data structure and behaviour; SILO2: abstract data types and encapsulation to localise and minimise change</x:v>
      </x:c>
      <x:c r="F849" s="35" t="n">
        <x:v>0.15</x:v>
      </x:c>
      <x:c r="G849" s="37" t="n">
        <x:f>C849*F849</x:f>
        <x:v>11.1</x:v>
      </x:c>
    </x:row>
    <x:row r="850" ht="15" hidden="0" customHeight="1">
      <x:c r="A850" s="34" t="str">
        <x:v>STU0078</x:v>
      </x:c>
      <x:c r="B850" s="35" t="str">
        <x:v>CSE1OOF - Practical demonstration</x:v>
      </x:c>
      <x:c r="C850" s="35" t="n">
        <x:v>70</x:v>
      </x:c>
      <x:c r="D850"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850" s="36" t="str">
        <x:v>SILO2: abstract data types and encapsulation to localise and minimise change; SILO3: code sharing and reuse through object-oriented techniques to reduce development time; SILO4: object-oriented design and implementation of computer programs for real-life problems</x:v>
      </x:c>
      <x:c r="F850" s="35" t="n">
        <x:v>0.2</x:v>
      </x:c>
      <x:c r="G850" s="37" t="n">
        <x:f>C850*F850</x:f>
        <x:v>14</x:v>
      </x:c>
    </x:row>
    <x:row r="851" ht="15" hidden="0" customHeight="1">
      <x:c r="A851" s="34" t="str">
        <x:v>STU0078</x:v>
      </x:c>
      <x:c r="B851" s="35" t="str">
        <x:v>CSE1OOF - Assignment</x:v>
      </x:c>
      <x:c r="C851" s="35" t="n">
        <x:v>72</x:v>
      </x:c>
      <x:c r="D851"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851" s="36" t="str">
        <x:v>SILO2: abstract data types and encapsulation to localise and minimise change; SILO3: code sharing and reuse through object-oriented techniques to reduce development time; SILO4: object-oriented design and implementation of computer programs for real-life problems</x:v>
      </x:c>
      <x:c r="F851" s="35" t="n">
        <x:v>0.25</x:v>
      </x:c>
      <x:c r="G851" s="37" t="n">
        <x:f>C851*F851</x:f>
        <x:v>18</x:v>
      </x:c>
    </x:row>
    <x:row r="852" ht="15" hidden="0" customHeight="1">
      <x:c r="A852" s="34" t="str">
        <x:v>STU0078</x:v>
      </x:c>
      <x:c r="B852" s="35" t="str">
        <x:v>CSE1OOF - Central examination</x:v>
      </x:c>
      <x:c r="C852" s="35" t="n">
        <x:v>72</x:v>
      </x:c>
      <x:c r="D852"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852"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852" s="35" t="n">
        <x:v>0.4</x:v>
      </x:c>
      <x:c r="G852" s="37" t="n">
        <x:f>C852*F852</x:f>
        <x:v>28.8</x:v>
      </x:c>
    </x:row>
    <x:row r="853" ht="15" hidden="0" customHeight="1">
      <x:c r="A853" s="34" t="str">
        <x:v>STU0078</x:v>
      </x:c>
      <x:c r="B853" s="35" t="str">
        <x:v>CSE2ALG - Test</x:v>
      </x:c>
      <x:c r="C853" s="35" t="n">
        <x:v>75</x:v>
      </x:c>
      <x:c r="D853" s="36" t="str">
        <x:v>This strong result shows well-developed understanding of the relevant learning themes, particularly overall objectives of Algorithms and Data Structures, identifying data structures and searching and sorting algorithms in computing contexts, and implementing data structures and searching and sorting algorithms in Java. Further improvement would come from deeper justification, more consistent evaluation evidence and tighter links between decisions and implementation details.</x:v>
      </x:c>
      <x:c r="E853" s="36" t="str">
        <x:v>SILO1: overall objectives of Algorithms and Data Structures; SILO2: identifying data structures and searching and sorting algorithms in computing contexts; SILO3: implementing data structures and searching and sorting algorithms in Java</x:v>
      </x:c>
      <x:c r="F853" s="35" t="n">
        <x:v>0.2</x:v>
      </x:c>
      <x:c r="G853" s="37" t="n">
        <x:f>C853*F853</x:f>
        <x:v>15</x:v>
      </x:c>
    </x:row>
    <x:row r="854" ht="15" hidden="0" customHeight="1">
      <x:c r="A854" s="34" t="str">
        <x:v>STU0078</x:v>
      </x:c>
      <x:c r="B854" s="35" t="str">
        <x:v>CSE2ALG - Assignment</x:v>
      </x:c>
      <x:c r="C854" s="35" t="n">
        <x:v>76</x:v>
      </x:c>
      <x:c r="D854" s="36" t="str">
        <x:v>This strong result shows well-developed understanding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Further improvement would come from deeper justification, more consistent evaluation evidence and tighter links between decisions and implementation details.</x:v>
      </x:c>
      <x:c r="E854"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854" s="35" t="n">
        <x:v>0.3</x:v>
      </x:c>
      <x:c r="G854" s="37" t="n">
        <x:f>C854*F854</x:f>
        <x:v>22.8</x:v>
      </x:c>
    </x:row>
    <x:row r="855" ht="15" hidden="0" customHeight="1">
      <x:c r="A855" s="34" t="str">
        <x:v>STU0078</x:v>
      </x:c>
      <x:c r="B855" s="35" t="str">
        <x:v>CSE2ALG - Central examination</x:v>
      </x:c>
      <x:c r="C855" s="35" t="n">
        <x:v>73</x:v>
      </x:c>
      <x:c r="D855"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855"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855" s="35" t="n">
        <x:v>0.5</x:v>
      </x:c>
      <x:c r="G855" s="37" t="n">
        <x:f>C855*F855</x:f>
        <x:v>36.5</x:v>
      </x:c>
    </x:row>
    <x:row r="856" ht="15" hidden="0" customHeight="1">
      <x:c r="A856" s="34" t="str">
        <x:v>STU0078</x:v>
      </x:c>
      <x:c r="B856" s="35" t="str">
        <x:v>CSE3CAP - Oral presentation: Project Milestone Presentation</x:v>
      </x:c>
      <x:c r="C856" s="35" t="n">
        <x:v>81</x:v>
      </x:c>
      <x:c r="D856"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856" s="36" t="str">
        <x:v>SILO3: reporting project outcomes to technical and non-technical audiences and reflecting on feedback</x:v>
      </x:c>
      <x:c r="F856" s="35" t="n">
        <x:v>0.1</x:v>
      </x:c>
      <x:c r="G856" s="37" t="n">
        <x:f>C856*F856</x:f>
        <x:v>8.1</x:v>
      </x:c>
    </x:row>
    <x:row r="857" ht="15" hidden="0" customHeight="1">
      <x:c r="A857" s="34" t="str">
        <x:v>STU0078</x:v>
      </x:c>
      <x:c r="B857" s="35" t="str">
        <x:v>CSE3CAP - Oral presentation: Final Project Presentation</x:v>
      </x:c>
      <x:c r="C857" s="35" t="n">
        <x:v>78</x:v>
      </x:c>
      <x:c r="D857"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857" s="36" t="str">
        <x:v>SILO3: reporting project outcomes to technical and non-technical audiences and reflecting on feedback</x:v>
      </x:c>
      <x:c r="F857" s="35" t="n">
        <x:v>0.2</x:v>
      </x:c>
      <x:c r="G857" s="37" t="n">
        <x:f>C857*F857</x:f>
        <x:v>15.600000000000001</x:v>
      </x:c>
    </x:row>
    <x:row r="858" ht="15" hidden="0" customHeight="1">
      <x:c r="A858" s="34" t="str">
        <x:v>STU0078</x:v>
      </x:c>
      <x:c r="B858" s="35" t="str">
        <x:v>CSE3CAP - Assignment: Final written Project Report</x:v>
      </x:c>
      <x:c r="C858" s="35" t="n">
        <x:v>78</x:v>
      </x:c>
      <x:c r="D858" s="36" t="str">
        <x:v>This strong result shows well-developed understanding of the relevant learning themes, particularly industry standard technical solutions in software or cybersecurity practice and professional system documentation and advanced technical reporting to industry standards. Further improvement would come from deeper justification, more consistent evaluation evidence and tighter links between decisions and implementation details.</x:v>
      </x:c>
      <x:c r="E858" s="36" t="str">
        <x:v>SILO2: industry standard technical solutions in software or cybersecurity practice; SILO4: professional system documentation and advanced technical reporting to industry standards</x:v>
      </x:c>
      <x:c r="F858" s="35" t="n">
        <x:v>0.35</x:v>
      </x:c>
      <x:c r="G858" s="37" t="n">
        <x:f>C858*F858</x:f>
        <x:v>27.299999999999997</x:v>
      </x:c>
    </x:row>
    <x:row r="859" ht="15" hidden="0" customHeight="1">
      <x:c r="A859" s="34" t="str">
        <x:v>STU0078</x:v>
      </x:c>
      <x:c r="B859" s="35" t="str">
        <x:v>CSE3CAP - Assignment: Sprint Project management reports</x:v>
      </x:c>
      <x:c r="C859" s="35" t="n">
        <x:v>80</x:v>
      </x:c>
      <x:c r="D859" s="36" t="str">
        <x:v>This strong result shows well-developed understanding of the relevant learning themes, particularly advanced project management during substantive development implementation and industry standard technical solutions in software or cybersecurity practice. Further improvement would come from deeper justification, more consistent evaluation evidence and tighter links between decisions and implementation details.</x:v>
      </x:c>
      <x:c r="E859" s="36" t="str">
        <x:v>SILO1: advanced project management during substantive development implementation; SILO2: industry standard technical solutions in software or cybersecurity practice</x:v>
      </x:c>
      <x:c r="F859" s="35" t="n">
        <x:v>0.35</x:v>
      </x:c>
      <x:c r="G859" s="37" t="n">
        <x:f>C859*F859</x:f>
        <x:v>28</x:v>
      </x:c>
    </x:row>
    <x:row r="860" ht="15" hidden="0" customHeight="1">
      <x:c r="A860" s="34" t="str">
        <x:v>STU0079</x:v>
      </x:c>
      <x:c r="B860" s="35" t="str">
        <x:v>CSE1OOF - Test</x:v>
      </x:c>
      <x:c r="C860" s="35" t="n">
        <x:v>64</x:v>
      </x:c>
      <x:c r="D860"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860" s="36" t="str">
        <x:v>SILO1: analysis/design/implementation compared with object-oriented modelling using objects that combine data structure and behaviour; SILO2: abstract data types and encapsulation to localise and minimise change</x:v>
      </x:c>
      <x:c r="F860" s="35" t="n">
        <x:v>0.15</x:v>
      </x:c>
      <x:c r="G860" s="37" t="n">
        <x:f>C860*F860</x:f>
        <x:v>9.6</x:v>
      </x:c>
    </x:row>
    <x:row r="861" ht="15" hidden="0" customHeight="1">
      <x:c r="A861" s="34" t="str">
        <x:v>STU0079</x:v>
      </x:c>
      <x:c r="B861" s="35" t="str">
        <x:v>CSE1OOF - Practical demonstration</x:v>
      </x:c>
      <x:c r="C861" s="35" t="n">
        <x:v>63</x:v>
      </x:c>
      <x:c r="D861"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861" s="36" t="str">
        <x:v>SILO2: abstract data types and encapsulation to localise and minimise change; SILO3: code sharing and reuse through object-oriented techniques to reduce development time; SILO4: object-oriented design and implementation of computer programs for real-life problems</x:v>
      </x:c>
      <x:c r="F861" s="35" t="n">
        <x:v>0.2</x:v>
      </x:c>
      <x:c r="G861" s="37" t="n">
        <x:f>C861*F861</x:f>
        <x:v>12.600000000000001</x:v>
      </x:c>
    </x:row>
    <x:row r="862" ht="15" hidden="0" customHeight="1">
      <x:c r="A862" s="34" t="str">
        <x:v>STU0079</x:v>
      </x:c>
      <x:c r="B862" s="35" t="str">
        <x:v>CSE1OOF - Assignment</x:v>
      </x:c>
      <x:c r="C862" s="35" t="n">
        <x:v>66</x:v>
      </x:c>
      <x:c r="D862"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862" s="36" t="str">
        <x:v>SILO2: abstract data types and encapsulation to localise and minimise change; SILO3: code sharing and reuse through object-oriented techniques to reduce development time; SILO4: object-oriented design and implementation of computer programs for real-life problems</x:v>
      </x:c>
      <x:c r="F862" s="35" t="n">
        <x:v>0.25</x:v>
      </x:c>
      <x:c r="G862" s="37" t="n">
        <x:f>C862*F862</x:f>
        <x:v>16.5</x:v>
      </x:c>
    </x:row>
    <x:row r="863" ht="15" hidden="0" customHeight="1">
      <x:c r="A863" s="34" t="str">
        <x:v>STU0079</x:v>
      </x:c>
      <x:c r="B863" s="35" t="str">
        <x:v>CSE1OOF - Central examination</x:v>
      </x:c>
      <x:c r="C863" s="35" t="n">
        <x:v>65</x:v>
      </x:c>
      <x:c r="D863"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863"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863" s="35" t="n">
        <x:v>0.4</x:v>
      </x:c>
      <x:c r="G863" s="37" t="n">
        <x:f>C863*F863</x:f>
        <x:v>26</x:v>
      </x:c>
    </x:row>
    <x:row r="864" ht="15" hidden="0" customHeight="1">
      <x:c r="A864" s="34" t="str">
        <x:v>STU0079</x:v>
      </x:c>
      <x:c r="B864" s="35" t="str">
        <x:v>CSE2ALG - Test</x:v>
      </x:c>
      <x:c r="C864" s="35" t="n">
        <x:v>70</x:v>
      </x:c>
      <x:c r="D864"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864" s="36" t="str">
        <x:v>SILO1: overall objectives of Algorithms and Data Structures; SILO2: identifying data structures and searching and sorting algorithms in computing contexts; SILO3: implementing data structures and searching and sorting algorithms in Java</x:v>
      </x:c>
      <x:c r="F864" s="35" t="n">
        <x:v>0.2</x:v>
      </x:c>
      <x:c r="G864" s="37" t="n">
        <x:f>C864*F864</x:f>
        <x:v>14</x:v>
      </x:c>
    </x:row>
    <x:row r="865" ht="15" hidden="0" customHeight="1">
      <x:c r="A865" s="34" t="str">
        <x:v>STU0079</x:v>
      </x:c>
      <x:c r="B865" s="35" t="str">
        <x:v>CSE2ALG - Assignment</x:v>
      </x:c>
      <x:c r="C865" s="35" t="n">
        <x:v>65</x:v>
      </x:c>
      <x:c r="D865" s="36" t="str">
        <x:v>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x:v>
      </x:c>
      <x:c r="E865"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865" s="35" t="n">
        <x:v>0.3</x:v>
      </x:c>
      <x:c r="G865" s="37" t="n">
        <x:f>C865*F865</x:f>
        <x:v>19.5</x:v>
      </x:c>
    </x:row>
    <x:row r="866" ht="15" hidden="0" customHeight="1">
      <x:c r="A866" s="34" t="str">
        <x:v>STU0079</x:v>
      </x:c>
      <x:c r="B866" s="35" t="str">
        <x:v>CSE2ALG - Central examination</x:v>
      </x:c>
      <x:c r="C866" s="35" t="n">
        <x:v>69</x:v>
      </x:c>
      <x:c r="D866"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866"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866" s="35" t="n">
        <x:v>0.5</x:v>
      </x:c>
      <x:c r="G866" s="37" t="n">
        <x:f>C866*F866</x:f>
        <x:v>34.5</x:v>
      </x:c>
    </x:row>
    <x:row r="867" ht="15" hidden="0" customHeight="1">
      <x:c r="A867" s="34" t="str">
        <x:v>STU0079</x:v>
      </x:c>
      <x:c r="B867" s="35" t="str">
        <x:v>CSE3CAP - Oral presentation: Project Milestone Presentation</x:v>
      </x:c>
      <x:c r="C867" s="35" t="n">
        <x:v>68</x:v>
      </x:c>
      <x:c r="D867"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867" s="36" t="str">
        <x:v>SILO3: reporting project outcomes to technical and non-technical audiences and reflecting on feedback</x:v>
      </x:c>
      <x:c r="F867" s="35" t="n">
        <x:v>0.1</x:v>
      </x:c>
      <x:c r="G867" s="37" t="n">
        <x:f>C867*F867</x:f>
        <x:v>6.800000000000001</x:v>
      </x:c>
    </x:row>
    <x:row r="868" ht="15" hidden="0" customHeight="1">
      <x:c r="A868" s="34" t="str">
        <x:v>STU0079</x:v>
      </x:c>
      <x:c r="B868" s="35" t="str">
        <x:v>CSE3CAP - Oral presentation: Final Project Presentation</x:v>
      </x:c>
      <x:c r="C868" s="35" t="n">
        <x:v>69</x:v>
      </x:c>
      <x:c r="D868"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868" s="36" t="str">
        <x:v>SILO3: reporting project outcomes to technical and non-technical audiences and reflecting on feedback</x:v>
      </x:c>
      <x:c r="F868" s="35" t="n">
        <x:v>0.2</x:v>
      </x:c>
      <x:c r="G868" s="37" t="n">
        <x:f>C868*F868</x:f>
        <x:v>13.8</x:v>
      </x:c>
    </x:row>
    <x:row r="869" ht="15" hidden="0" customHeight="1">
      <x:c r="A869" s="34" t="str">
        <x:v>STU0079</x:v>
      </x:c>
      <x:c r="B869" s="35" t="str">
        <x:v>CSE3CAP - Assignment: Final written Project Report</x:v>
      </x:c>
      <x:c r="C869" s="35" t="n">
        <x:v>71</x:v>
      </x:c>
      <x:c r="D869" s="36" t="str">
        <x:v>This sound result shows a competent and generally reliable grasp of the relevant learning themes, particularly industry standard technical solutions in software or cybersecurity practice and professional system documentation and advanced technical reporting to industry standards. To strengthen the result, the student should provide clearer reasoning, improve technical precision and show more complete testing or reflection.</x:v>
      </x:c>
      <x:c r="E869" s="36" t="str">
        <x:v>SILO2: industry standard technical solutions in software or cybersecurity practice; SILO4: professional system documentation and advanced technical reporting to industry standards</x:v>
      </x:c>
      <x:c r="F869" s="35" t="n">
        <x:v>0.35</x:v>
      </x:c>
      <x:c r="G869" s="37" t="n">
        <x:f>C869*F869</x:f>
        <x:v>24.849999999999998</x:v>
      </x:c>
    </x:row>
    <x:row r="870" ht="15" hidden="0" customHeight="1">
      <x:c r="A870" s="34" t="str">
        <x:v>STU0079</x:v>
      </x:c>
      <x:c r="B870" s="35" t="str">
        <x:v>CSE3CAP - Assignment: Sprint Project management reports</x:v>
      </x:c>
      <x:c r="C870" s="35" t="n">
        <x:v>69</x:v>
      </x:c>
      <x:c r="D870" s="36" t="str">
        <x:v>This sound result shows a competent and generally reliable grasp of the relevant learning themes, particularly advanced project management during substantive development implementation and industry standard technical solutions in software or cybersecurity practice. To strengthen the result, the student should provide clearer reasoning, improve technical precision and show more complete testing or reflection.</x:v>
      </x:c>
      <x:c r="E870" s="36" t="str">
        <x:v>SILO1: advanced project management during substantive development implementation; SILO2: industry standard technical solutions in software or cybersecurity practice</x:v>
      </x:c>
      <x:c r="F870" s="35" t="n">
        <x:v>0.35</x:v>
      </x:c>
      <x:c r="G870" s="37" t="n">
        <x:f>C870*F870</x:f>
        <x:v>24.15</x:v>
      </x:c>
    </x:row>
    <x:row r="871" ht="15" hidden="0" customHeight="1">
      <x:c r="A871" s="34" t="str">
        <x:v>STU0080</x:v>
      </x:c>
      <x:c r="B871" s="35" t="str">
        <x:v>CSE1OOF - Test</x:v>
      </x:c>
      <x:c r="C871" s="35" t="n">
        <x:v>46</x:v>
      </x:c>
      <x:c r="D871" s="36" t="str">
        <x:v>This limited result shows gaps that require targeted revision of the relevant learning themes, particularly analysis/design/implementation compared with object-oriented modelling using objects that combine data structure and behaviour and abstract data types and encapsulation to localise and minimise change. The student should revisit the core concepts, seek feedback early and practise applying the techniques in smaller, well-tested examples before attempting the full assessment task.</x:v>
      </x:c>
      <x:c r="E871" s="36" t="str">
        <x:v>SILO1: analysis/design/implementation compared with object-oriented modelling using objects that combine data structure and behaviour; SILO2: abstract data types and encapsulation to localise and minimise change</x:v>
      </x:c>
      <x:c r="F871" s="35" t="n">
        <x:v>0.15</x:v>
      </x:c>
      <x:c r="G871" s="37" t="n">
        <x:f>C871*F871</x:f>
        <x:v>6.8999999999999995</x:v>
      </x:c>
    </x:row>
    <x:row r="872" ht="15" hidden="0" customHeight="1">
      <x:c r="A872" s="34" t="str">
        <x:v>STU0080</x:v>
      </x:c>
      <x:c r="B872" s="35" t="str">
        <x:v>CSE1OOF - Practical demonstration</x:v>
      </x:c>
      <x:c r="C872" s="35" t="n">
        <x:v>47</x:v>
      </x:c>
      <x:c r="D872" s="36" t="str">
        <x:v>This limited result shows gaps that require targeted revision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student should revisit the core concepts, seek feedback early and practise applying the techniques in smaller, well-tested examples before attempting the full assessment task.</x:v>
      </x:c>
      <x:c r="E872" s="36" t="str">
        <x:v>SILO2: abstract data types and encapsulation to localise and minimise change; SILO3: code sharing and reuse through object-oriented techniques to reduce development time; SILO4: object-oriented design and implementation of computer programs for real-life problems</x:v>
      </x:c>
      <x:c r="F872" s="35" t="n">
        <x:v>0.2</x:v>
      </x:c>
      <x:c r="G872" s="37" t="n">
        <x:f>C872*F872</x:f>
        <x:v>9.4</x:v>
      </x:c>
    </x:row>
    <x:row r="873" ht="15" hidden="0" customHeight="1">
      <x:c r="A873" s="34" t="str">
        <x:v>STU0080</x:v>
      </x:c>
      <x:c r="B873" s="35" t="str">
        <x:v>CSE1OOF - Assignment</x:v>
      </x:c>
      <x:c r="C873" s="35" t="n">
        <x:v>48</x:v>
      </x:c>
      <x:c r="D873" s="36" t="str">
        <x:v>This limited result shows gaps that require targeted revision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student should revisit the core concepts, seek feedback early and practise applying the techniques in smaller, well-tested examples before attempting the full assessment task.</x:v>
      </x:c>
      <x:c r="E873" s="36" t="str">
        <x:v>SILO2: abstract data types and encapsulation to localise and minimise change; SILO3: code sharing and reuse through object-oriented techniques to reduce development time; SILO4: object-oriented design and implementation of computer programs for real-life problems</x:v>
      </x:c>
      <x:c r="F873" s="35" t="n">
        <x:v>0.25</x:v>
      </x:c>
      <x:c r="G873" s="37" t="n">
        <x:f>C873*F873</x:f>
        <x:v>12</x:v>
      </x:c>
    </x:row>
    <x:row r="874" ht="15" hidden="0" customHeight="1">
      <x:c r="A874" s="34" t="str">
        <x:v>STU0080</x:v>
      </x:c>
      <x:c r="B874" s="35" t="str">
        <x:v>CSE1OOF - Central examination</x:v>
      </x:c>
      <x:c r="C874" s="35" t="n">
        <x:v>47</x:v>
      </x:c>
      <x:c r="D874" s="36" t="str">
        <x:v>This limited result shows gaps that require targeted revision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The student should revisit the core concepts, seek feedback early and practise applying the techniques in smaller, well-tested examples before attempting the full assessment task.</x:v>
      </x:c>
      <x:c r="E874"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874" s="35" t="n">
        <x:v>0.4</x:v>
      </x:c>
      <x:c r="G874" s="37" t="n">
        <x:f>C874*F874</x:f>
        <x:v>18.8</x:v>
      </x:c>
    </x:row>
    <x:row r="875" ht="15" hidden="0" customHeight="1">
      <x:c r="A875" s="34" t="str">
        <x:v>STU0080</x:v>
      </x:c>
      <x:c r="B875" s="35" t="str">
        <x:v>CSE2ALG - Test</x:v>
      </x:c>
      <x:c r="C875" s="35" t="n">
        <x:v>54</x:v>
      </x:c>
      <x:c r="D875"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875" s="36" t="str">
        <x:v>SILO1: overall objectives of Algorithms and Data Structures; SILO2: identifying data structures and searching and sorting algorithms in computing contexts; SILO3: implementing data structures and searching and sorting algorithms in Java</x:v>
      </x:c>
      <x:c r="F875" s="35" t="n">
        <x:v>0.2</x:v>
      </x:c>
      <x:c r="G875" s="37" t="n">
        <x:f>C875*F875</x:f>
        <x:v>10.8</x:v>
      </x:c>
    </x:row>
    <x:row r="876" ht="15" hidden="0" customHeight="1">
      <x:c r="A876" s="34" t="str">
        <x:v>STU0080</x:v>
      </x:c>
      <x:c r="B876" s="35" t="str">
        <x:v>CSE2ALG - Assignment</x:v>
      </x:c>
      <x:c r="C876" s="35" t="n">
        <x:v>51</x:v>
      </x:c>
      <x:c r="D876"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876"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876" s="35" t="n">
        <x:v>0.3</x:v>
      </x:c>
      <x:c r="G876" s="37" t="n">
        <x:f>C876*F876</x:f>
        <x:v>15.299999999999999</x:v>
      </x:c>
    </x:row>
    <x:row r="877" ht="15" hidden="0" customHeight="1">
      <x:c r="A877" s="34" t="str">
        <x:v>STU0080</x:v>
      </x:c>
      <x:c r="B877" s="35" t="str">
        <x:v>CSE2ALG - Central examination</x:v>
      </x:c>
      <x:c r="C877" s="35" t="n">
        <x:v>51</x:v>
      </x:c>
      <x:c r="D877" s="36" t="str">
        <x:v>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x:v>
      </x:c>
      <x:c r="E877"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877" s="35" t="n">
        <x:v>0.5</x:v>
      </x:c>
      <x:c r="G877" s="37" t="n">
        <x:f>C877*F877</x:f>
        <x:v>25.5</x:v>
      </x:c>
    </x:row>
    <x:row r="878" ht="15" hidden="0" customHeight="1">
      <x:c r="A878" s="34" t="str">
        <x:v>STU0080</x:v>
      </x:c>
      <x:c r="B878" s="35" t="str">
        <x:v>CSE3CAP - Oral presentation: Project Milestone Presentation</x:v>
      </x:c>
      <x:c r="C878" s="35" t="n">
        <x:v>49</x:v>
      </x:c>
      <x:c r="D878" s="36" t="str">
        <x:v>This limited result shows gaps that require targeted revision of the relevant learning themes, particularly reporting project outcomes to technical and non-technical audiences and reflecting on feedback. The student should revisit the core concepts, seek feedback early and practise applying the techniques in smaller, well-tested examples before attempting the full assessment task.</x:v>
      </x:c>
      <x:c r="E878" s="36" t="str">
        <x:v>SILO3: reporting project outcomes to technical and non-technical audiences and reflecting on feedback</x:v>
      </x:c>
      <x:c r="F878" s="35" t="n">
        <x:v>0.1</x:v>
      </x:c>
      <x:c r="G878" s="37" t="n">
        <x:f>C878*F878</x:f>
        <x:v>4.9</x:v>
      </x:c>
    </x:row>
    <x:row r="879" ht="15" hidden="0" customHeight="1">
      <x:c r="A879" s="34" t="str">
        <x:v>STU0080</x:v>
      </x:c>
      <x:c r="B879" s="35" t="str">
        <x:v>CSE3CAP - Oral presentation: Final Project Presentation</x:v>
      </x:c>
      <x:c r="C879" s="35" t="n">
        <x:v>51</x:v>
      </x:c>
      <x:c r="D879"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879" s="36" t="str">
        <x:v>SILO3: reporting project outcomes to technical and non-technical audiences and reflecting on feedback</x:v>
      </x:c>
      <x:c r="F879" s="35" t="n">
        <x:v>0.2</x:v>
      </x:c>
      <x:c r="G879" s="37" t="n">
        <x:f>C879*F879</x:f>
        <x:v>10.200000000000001</x:v>
      </x:c>
    </x:row>
    <x:row r="880" ht="15" hidden="0" customHeight="1">
      <x:c r="A880" s="34" t="str">
        <x:v>STU0080</x:v>
      </x:c>
      <x:c r="B880" s="35" t="str">
        <x:v>CSE3CAP - Assignment: Final written Project Report</x:v>
      </x:c>
      <x:c r="C880" s="35" t="n">
        <x:v>47</x:v>
      </x:c>
      <x:c r="D880" s="36" t="str">
        <x:v>This limited result shows gaps that require targeted revision of the relevant learning themes, particularly industry standard technical solutions in software or cybersecurity practice and professional system documentation and advanced technical reporting to industry standards. The student should revisit the core concepts, seek feedback early and practise applying the techniques in smaller, well-tested examples before attempting the full assessment task.</x:v>
      </x:c>
      <x:c r="E880" s="36" t="str">
        <x:v>SILO2: industry standard technical solutions in software or cybersecurity practice; SILO4: professional system documentation and advanced technical reporting to industry standards</x:v>
      </x:c>
      <x:c r="F880" s="35" t="n">
        <x:v>0.35</x:v>
      </x:c>
      <x:c r="G880" s="37" t="n">
        <x:f>C880*F880</x:f>
        <x:v>16.45</x:v>
      </x:c>
    </x:row>
    <x:row r="881" ht="15" hidden="0" customHeight="1">
      <x:c r="A881" s="34" t="str">
        <x:v>STU0080</x:v>
      </x:c>
      <x:c r="B881" s="35" t="str">
        <x:v>CSE3CAP - Assignment: Sprint Project management reports</x:v>
      </x:c>
      <x:c r="C881" s="35" t="n">
        <x:v>47</x:v>
      </x:c>
      <x:c r="D881" s="36" t="str">
        <x:v>This limited result shows gaps that require targeted revision of the relevant learning themes, particularly advanced project management during substantive development implementation and industry standard technical solutions in software or cybersecurity practice. The student should revisit the core concepts, seek feedback early and practise applying the techniques in smaller, well-tested examples before attempting the full assessment task.</x:v>
      </x:c>
      <x:c r="E881" s="36" t="str">
        <x:v>SILO1: advanced project management during substantive development implementation; SILO2: industry standard technical solutions in software or cybersecurity practice</x:v>
      </x:c>
      <x:c r="F881" s="35" t="n">
        <x:v>0.35</x:v>
      </x:c>
      <x:c r="G881" s="37" t="n">
        <x:f>C881*F881</x:f>
        <x:v>16.45</x:v>
      </x:c>
    </x:row>
    <x:row r="882" ht="15" hidden="0" customHeight="1">
      <x:c r="A882" s="34" t="str">
        <x:v>STU0081</x:v>
      </x:c>
      <x:c r="B882" s="35" t="str">
        <x:v>CSE1OOF - Test</x:v>
      </x:c>
      <x:c r="C882" s="35" t="n">
        <x:v>85</x:v>
      </x:c>
      <x:c r="D882" s="36" t="str">
        <x:v>This excellent result demonstrates confident and independent command of the relevant learning themes, particularly analysis/design/implementation compared with object-oriented modelling using objects that combine data structure and behaviour and abstract data types and encapsulation to localise and minimise change. The work is clear, accurate and well justified, with only minor opportunities to further polish explanation or evaluation.</x:v>
      </x:c>
      <x:c r="E882" s="36" t="str">
        <x:v>SILO1: analysis/design/implementation compared with object-oriented modelling using objects that combine data structure and behaviour; SILO2: abstract data types and encapsulation to localise and minimise change</x:v>
      </x:c>
      <x:c r="F882" s="35" t="n">
        <x:v>0.15</x:v>
      </x:c>
      <x:c r="G882" s="37" t="n">
        <x:f>C882*F882</x:f>
        <x:v>12.75</x:v>
      </x:c>
    </x:row>
    <x:row r="883" ht="15" hidden="0" customHeight="1">
      <x:c r="A883" s="34" t="str">
        <x:v>STU0081</x:v>
      </x:c>
      <x:c r="B883" s="35" t="str">
        <x:v>CSE1OOF - Practical demonstration</x:v>
      </x:c>
      <x:c r="C883" s="35" t="n">
        <x:v>87</x:v>
      </x:c>
      <x:c r="D883" s="36" t="str">
        <x:v>This excellent result demonstrates confident and independent command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work is clear, accurate and well justified, with only minor opportunities to further polish explanation or evaluation.</x:v>
      </x:c>
      <x:c r="E883" s="36" t="str">
        <x:v>SILO2: abstract data types and encapsulation to localise and minimise change; SILO3: code sharing and reuse through object-oriented techniques to reduce development time; SILO4: object-oriented design and implementation of computer programs for real-life problems</x:v>
      </x:c>
      <x:c r="F883" s="35" t="n">
        <x:v>0.2</x:v>
      </x:c>
      <x:c r="G883" s="37" t="n">
        <x:f>C883*F883</x:f>
        <x:v>17.400000000000002</x:v>
      </x:c>
    </x:row>
    <x:row r="884" ht="15" hidden="0" customHeight="1">
      <x:c r="A884" s="34" t="str">
        <x:v>STU0081</x:v>
      </x:c>
      <x:c r="B884" s="35" t="str">
        <x:v>CSE1OOF - Assignment</x:v>
      </x:c>
      <x:c r="C884" s="35" t="n">
        <x:v>81</x:v>
      </x:c>
      <x:c r="D884"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884" s="36" t="str">
        <x:v>SILO2: abstract data types and encapsulation to localise and minimise change; SILO3: code sharing and reuse through object-oriented techniques to reduce development time; SILO4: object-oriented design and implementation of computer programs for real-life problems</x:v>
      </x:c>
      <x:c r="F884" s="35" t="n">
        <x:v>0.25</x:v>
      </x:c>
      <x:c r="G884" s="37" t="n">
        <x:f>C884*F884</x:f>
        <x:v>20.25</x:v>
      </x:c>
    </x:row>
    <x:row r="885" ht="15" hidden="0" customHeight="1">
      <x:c r="A885" s="34" t="str">
        <x:v>STU0081</x:v>
      </x:c>
      <x:c r="B885" s="35" t="str">
        <x:v>CSE1OOF - Central examination</x:v>
      </x:c>
      <x:c r="C885" s="35" t="n">
        <x:v>86</x:v>
      </x:c>
      <x:c r="D885" s="36" t="str">
        <x:v>This excellent result demonstrates confident and independent command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The work is clear, accurate and well justified, with only minor opportunities to further polish explanation or evaluation.</x:v>
      </x:c>
      <x:c r="E885"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885" s="35" t="n">
        <x:v>0.4</x:v>
      </x:c>
      <x:c r="G885" s="37" t="n">
        <x:f>C885*F885</x:f>
        <x:v>34.4</x:v>
      </x:c>
    </x:row>
    <x:row r="886" ht="15" hidden="0" customHeight="1">
      <x:c r="A886" s="34" t="str">
        <x:v>STU0081</x:v>
      </x:c>
      <x:c r="B886" s="35" t="str">
        <x:v>CSE2ALG - Test</x:v>
      </x:c>
      <x:c r="C886" s="35" t="n">
        <x:v>77</x:v>
      </x:c>
      <x:c r="D886" s="36" t="str">
        <x:v>This strong result shows well-developed understanding of the relevant learning themes, particularly overall objectives of Algorithms and Data Structures, identifying data structures and searching and sorting algorithms in computing contexts, and implementing data structures and searching and sorting algorithms in Java. Further improvement would come from deeper justification, more consistent evaluation evidence and tighter links between decisions and implementation details.</x:v>
      </x:c>
      <x:c r="E886" s="36" t="str">
        <x:v>SILO1: overall objectives of Algorithms and Data Structures; SILO2: identifying data structures and searching and sorting algorithms in computing contexts; SILO3: implementing data structures and searching and sorting algorithms in Java</x:v>
      </x:c>
      <x:c r="F886" s="35" t="n">
        <x:v>0.2</x:v>
      </x:c>
      <x:c r="G886" s="37" t="n">
        <x:f>C886*F886</x:f>
        <x:v>15.4</x:v>
      </x:c>
    </x:row>
    <x:row r="887" ht="15" hidden="0" customHeight="1">
      <x:c r="A887" s="34" t="str">
        <x:v>STU0081</x:v>
      </x:c>
      <x:c r="B887" s="35" t="str">
        <x:v>CSE2ALG - Assignment</x:v>
      </x:c>
      <x:c r="C887" s="35" t="n">
        <x:v>79</x:v>
      </x:c>
      <x:c r="D887" s="36" t="str">
        <x:v>This strong result shows well-developed understanding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Further improvement would come from deeper justification, more consistent evaluation evidence and tighter links between decisions and implementation details.</x:v>
      </x:c>
      <x:c r="E887"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887" s="35" t="n">
        <x:v>0.3</x:v>
      </x:c>
      <x:c r="G887" s="37" t="n">
        <x:f>C887*F887</x:f>
        <x:v>23.7</x:v>
      </x:c>
    </x:row>
    <x:row r="888" ht="15" hidden="0" customHeight="1">
      <x:c r="A888" s="34" t="str">
        <x:v>STU0081</x:v>
      </x:c>
      <x:c r="B888" s="35" t="str">
        <x:v>CSE2ALG - Central examination</x:v>
      </x:c>
      <x:c r="C888" s="35" t="n">
        <x:v>78</x:v>
      </x:c>
      <x:c r="D888" s="36" t="str">
        <x:v>This strong result shows well-developed understanding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Further improvement would come from deeper justification, more consistent evaluation evidence and tighter links between decisions and implementation details.</x:v>
      </x:c>
      <x:c r="E888"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888" s="35" t="n">
        <x:v>0.5</x:v>
      </x:c>
      <x:c r="G888" s="37" t="n">
        <x:f>C888*F888</x:f>
        <x:v>39</x:v>
      </x:c>
    </x:row>
    <x:row r="889" ht="15" hidden="0" customHeight="1">
      <x:c r="A889" s="34" t="str">
        <x:v>STU0081</x:v>
      </x:c>
      <x:c r="B889" s="35" t="str">
        <x:v>CSE3CAP - Oral presentation: Project Milestone Presentation</x:v>
      </x:c>
      <x:c r="C889" s="35" t="n">
        <x:v>80</x:v>
      </x:c>
      <x:c r="D889"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889" s="36" t="str">
        <x:v>SILO3: reporting project outcomes to technical and non-technical audiences and reflecting on feedback</x:v>
      </x:c>
      <x:c r="F889" s="35" t="n">
        <x:v>0.1</x:v>
      </x:c>
      <x:c r="G889" s="37" t="n">
        <x:f>C889*F889</x:f>
        <x:v>8</x:v>
      </x:c>
    </x:row>
    <x:row r="890" ht="15" hidden="0" customHeight="1">
      <x:c r="A890" s="34" t="str">
        <x:v>STU0081</x:v>
      </x:c>
      <x:c r="B890" s="35" t="str">
        <x:v>CSE3CAP - Oral presentation: Final Project Presentation</x:v>
      </x:c>
      <x:c r="C890" s="35" t="n">
        <x:v>85</x:v>
      </x:c>
      <x:c r="D890" s="36" t="str">
        <x:v>This excellent result demonstrates confident and independent command of the relevant learning themes, particularly reporting project outcomes to technical and non-technical audiences and reflecting on feedback. The work is clear, accurate and well justified, with only minor opportunities to further polish explanation or evaluation.</x:v>
      </x:c>
      <x:c r="E890" s="36" t="str">
        <x:v>SILO3: reporting project outcomes to technical and non-technical audiences and reflecting on feedback</x:v>
      </x:c>
      <x:c r="F890" s="35" t="n">
        <x:v>0.2</x:v>
      </x:c>
      <x:c r="G890" s="37" t="n">
        <x:f>C890*F890</x:f>
        <x:v>17</x:v>
      </x:c>
    </x:row>
    <x:row r="891" ht="15" hidden="0" customHeight="1">
      <x:c r="A891" s="34" t="str">
        <x:v>STU0081</x:v>
      </x:c>
      <x:c r="B891" s="35" t="str">
        <x:v>CSE3CAP - Assignment: Final written Project Report</x:v>
      </x:c>
      <x:c r="C891" s="35" t="n">
        <x:v>83</x:v>
      </x:c>
      <x:c r="D891" s="36" t="str">
        <x:v>This strong result shows well-developed understanding of the relevant learning themes, particularly industry standard technical solutions in software or cybersecurity practice and professional system documentation and advanced technical reporting to industry standards. Further improvement would come from deeper justification, more consistent evaluation evidence and tighter links between decisions and implementation details.</x:v>
      </x:c>
      <x:c r="E891" s="36" t="str">
        <x:v>SILO2: industry standard technical solutions in software or cybersecurity practice; SILO4: professional system documentation and advanced technical reporting to industry standards</x:v>
      </x:c>
      <x:c r="F891" s="35" t="n">
        <x:v>0.35</x:v>
      </x:c>
      <x:c r="G891" s="37" t="n">
        <x:f>C891*F891</x:f>
        <x:v>29.049999999999997</x:v>
      </x:c>
    </x:row>
    <x:row r="892" ht="15" hidden="0" customHeight="1">
      <x:c r="A892" s="34" t="str">
        <x:v>STU0081</x:v>
      </x:c>
      <x:c r="B892" s="35" t="str">
        <x:v>CSE3CAP - Assignment: Sprint Project management reports</x:v>
      </x:c>
      <x:c r="C892" s="35" t="n">
        <x:v>84</x:v>
      </x:c>
      <x:c r="D892" s="36" t="str">
        <x:v>This strong result shows well-developed understanding of the relevant learning themes, particularly advanced project management during substantive development implementation and industry standard technical solutions in software or cybersecurity practice. Further improvement would come from deeper justification, more consistent evaluation evidence and tighter links between decisions and implementation details.</x:v>
      </x:c>
      <x:c r="E892" s="36" t="str">
        <x:v>SILO1: advanced project management during substantive development implementation; SILO2: industry standard technical solutions in software or cybersecurity practice</x:v>
      </x:c>
      <x:c r="F892" s="35" t="n">
        <x:v>0.35</x:v>
      </x:c>
      <x:c r="G892" s="37" t="n">
        <x:f>C892*F892</x:f>
        <x:v>29.4</x:v>
      </x:c>
    </x:row>
    <x:row r="893" ht="15" hidden="0" customHeight="1">
      <x:c r="A893" s="34" t="str">
        <x:v>STU0082</x:v>
      </x:c>
      <x:c r="B893" s="35" t="str">
        <x:v>CSE1OOF - Test</x:v>
      </x:c>
      <x:c r="C893" s="35" t="n">
        <x:v>62</x:v>
      </x:c>
      <x:c r="D893"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893" s="36" t="str">
        <x:v>SILO1: analysis/design/implementation compared with object-oriented modelling using objects that combine data structure and behaviour; SILO2: abstract data types and encapsulation to localise and minimise change</x:v>
      </x:c>
      <x:c r="F893" s="35" t="n">
        <x:v>0.15</x:v>
      </x:c>
      <x:c r="G893" s="37" t="n">
        <x:f>C893*F893</x:f>
        <x:v>9.299999999999999</x:v>
      </x:c>
    </x:row>
    <x:row r="894" ht="15" hidden="0" customHeight="1">
      <x:c r="A894" s="34" t="str">
        <x:v>STU0082</x:v>
      </x:c>
      <x:c r="B894" s="35" t="str">
        <x:v>CSE1OOF - Practical demonstration</x:v>
      </x:c>
      <x:c r="C894" s="35" t="n">
        <x:v>63</x:v>
      </x:c>
      <x:c r="D894"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894" s="36" t="str">
        <x:v>SILO2: abstract data types and encapsulation to localise and minimise change; SILO3: code sharing and reuse through object-oriented techniques to reduce development time; SILO4: object-oriented design and implementation of computer programs for real-life problems</x:v>
      </x:c>
      <x:c r="F894" s="35" t="n">
        <x:v>0.2</x:v>
      </x:c>
      <x:c r="G894" s="37" t="n">
        <x:f>C894*F894</x:f>
        <x:v>12.600000000000001</x:v>
      </x:c>
    </x:row>
    <x:row r="895" ht="15" hidden="0" customHeight="1">
      <x:c r="A895" s="34" t="str">
        <x:v>STU0082</x:v>
      </x:c>
      <x:c r="B895" s="35" t="str">
        <x:v>CSE1OOF - Assignment</x:v>
      </x:c>
      <x:c r="C895" s="35" t="n">
        <x:v>59</x:v>
      </x:c>
      <x:c r="D895"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895" s="36" t="str">
        <x:v>SILO2: abstract data types and encapsulation to localise and minimise change; SILO3: code sharing and reuse through object-oriented techniques to reduce development time; SILO4: object-oriented design and implementation of computer programs for real-life problems</x:v>
      </x:c>
      <x:c r="F895" s="35" t="n">
        <x:v>0.25</x:v>
      </x:c>
      <x:c r="G895" s="37" t="n">
        <x:f>C895*F895</x:f>
        <x:v>14.75</x:v>
      </x:c>
    </x:row>
    <x:row r="896" ht="15" hidden="0" customHeight="1">
      <x:c r="A896" s="34" t="str">
        <x:v>STU0082</x:v>
      </x:c>
      <x:c r="B896" s="35" t="str">
        <x:v>CSE1OOF - Central examination</x:v>
      </x:c>
      <x:c r="C896" s="35" t="n">
        <x:v>63</x:v>
      </x:c>
      <x:c r="D896" s="36" t="str">
        <x:v>This developing result meets the core requirements but needs greater consistency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Future work should focus on consolidating the underlying concepts, applying them more consistently and explaining design or implementation decisions with stronger evidence.</x:v>
      </x:c>
      <x:c r="E896"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896" s="35" t="n">
        <x:v>0.4</x:v>
      </x:c>
      <x:c r="G896" s="37" t="n">
        <x:f>C896*F896</x:f>
        <x:v>25.200000000000003</x:v>
      </x:c>
    </x:row>
    <x:row r="897" ht="15" hidden="0" customHeight="1">
      <x:c r="A897" s="34" t="str">
        <x:v>STU0082</x:v>
      </x:c>
      <x:c r="B897" s="35" t="str">
        <x:v>CSE2ALG - Test</x:v>
      </x:c>
      <x:c r="C897" s="35" t="n">
        <x:v>52</x:v>
      </x:c>
      <x:c r="D897"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897" s="36" t="str">
        <x:v>SILO1: overall objectives of Algorithms and Data Structures; SILO2: identifying data structures and searching and sorting algorithms in computing contexts; SILO3: implementing data structures and searching and sorting algorithms in Java</x:v>
      </x:c>
      <x:c r="F897" s="35" t="n">
        <x:v>0.2</x:v>
      </x:c>
      <x:c r="G897" s="37" t="n">
        <x:f>C897*F897</x:f>
        <x:v>10.4</x:v>
      </x:c>
    </x:row>
    <x:row r="898" ht="15" hidden="0" customHeight="1">
      <x:c r="A898" s="34" t="str">
        <x:v>STU0082</x:v>
      </x:c>
      <x:c r="B898" s="35" t="str">
        <x:v>CSE2ALG - Assignment</x:v>
      </x:c>
      <x:c r="C898" s="35" t="n">
        <x:v>52</x:v>
      </x:c>
      <x:c r="D898"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898"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898" s="35" t="n">
        <x:v>0.3</x:v>
      </x:c>
      <x:c r="G898" s="37" t="n">
        <x:f>C898*F898</x:f>
        <x:v>15.6</x:v>
      </x:c>
    </x:row>
    <x:row r="899" ht="15" hidden="0" customHeight="1">
      <x:c r="A899" s="34" t="str">
        <x:v>STU0082</x:v>
      </x:c>
      <x:c r="B899" s="35" t="str">
        <x:v>CSE2ALG - Central examination</x:v>
      </x:c>
      <x:c r="C899" s="35" t="n">
        <x:v>52</x:v>
      </x:c>
      <x:c r="D899" s="36" t="str">
        <x:v>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x:v>
      </x:c>
      <x:c r="E899"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899" s="35" t="n">
        <x:v>0.5</x:v>
      </x:c>
      <x:c r="G899" s="37" t="n">
        <x:f>C899*F899</x:f>
        <x:v>26</x:v>
      </x:c>
    </x:row>
    <x:row r="900" ht="15" hidden="0" customHeight="1">
      <x:c r="A900" s="34" t="str">
        <x:v>STU0082</x:v>
      </x:c>
      <x:c r="B900" s="35" t="str">
        <x:v>CSE3CAP - Oral presentation: Project Milestone Presentation</x:v>
      </x:c>
      <x:c r="C900" s="35" t="n">
        <x:v>58</x:v>
      </x:c>
      <x:c r="D900"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900" s="36" t="str">
        <x:v>SILO3: reporting project outcomes to technical and non-technical audiences and reflecting on feedback</x:v>
      </x:c>
      <x:c r="F900" s="35" t="n">
        <x:v>0.1</x:v>
      </x:c>
      <x:c r="G900" s="37" t="n">
        <x:f>C900*F900</x:f>
        <x:v>5.800000000000001</x:v>
      </x:c>
    </x:row>
    <x:row r="901" ht="15" hidden="0" customHeight="1">
      <x:c r="A901" s="34" t="str">
        <x:v>STU0082</x:v>
      </x:c>
      <x:c r="B901" s="35" t="str">
        <x:v>CSE3CAP - Oral presentation: Final Project Presentation</x:v>
      </x:c>
      <x:c r="C901" s="35" t="n">
        <x:v>55</x:v>
      </x:c>
      <x:c r="D901"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901" s="36" t="str">
        <x:v>SILO3: reporting project outcomes to technical and non-technical audiences and reflecting on feedback</x:v>
      </x:c>
      <x:c r="F901" s="35" t="n">
        <x:v>0.2</x:v>
      </x:c>
      <x:c r="G901" s="37" t="n">
        <x:f>C901*F901</x:f>
        <x:v>11</x:v>
      </x:c>
    </x:row>
    <x:row r="902" ht="15" hidden="0" customHeight="1">
      <x:c r="A902" s="34" t="str">
        <x:v>STU0082</x:v>
      </x:c>
      <x:c r="B902" s="35" t="str">
        <x:v>CSE3CAP - Assignment: Final written Project Report</x:v>
      </x:c>
      <x:c r="C902" s="35" t="n">
        <x:v>57</x:v>
      </x:c>
      <x:c r="D902"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902" s="36" t="str">
        <x:v>SILO2: industry standard technical solutions in software or cybersecurity practice; SILO4: professional system documentation and advanced technical reporting to industry standards</x:v>
      </x:c>
      <x:c r="F902" s="35" t="n">
        <x:v>0.35</x:v>
      </x:c>
      <x:c r="G902" s="37" t="n">
        <x:f>C902*F902</x:f>
        <x:v>19.95</x:v>
      </x:c>
    </x:row>
    <x:row r="903" ht="15" hidden="0" customHeight="1">
      <x:c r="A903" s="34" t="str">
        <x:v>STU0082</x:v>
      </x:c>
      <x:c r="B903" s="35" t="str">
        <x:v>CSE3CAP - Assignment: Sprint Project management reports</x:v>
      </x:c>
      <x:c r="C903" s="35" t="n">
        <x:v>57</x:v>
      </x:c>
      <x:c r="D903"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903" s="36" t="str">
        <x:v>SILO1: advanced project management during substantive development implementation; SILO2: industry standard technical solutions in software or cybersecurity practice</x:v>
      </x:c>
      <x:c r="F903" s="35" t="n">
        <x:v>0.35</x:v>
      </x:c>
      <x:c r="G903" s="37" t="n">
        <x:f>C903*F903</x:f>
        <x:v>19.95</x:v>
      </x:c>
    </x:row>
    <x:row r="904" ht="15" hidden="0" customHeight="1">
      <x:c r="A904" s="34" t="str">
        <x:v>STU0083</x:v>
      </x:c>
      <x:c r="B904" s="35" t="str">
        <x:v>CSE1OOF - Test</x:v>
      </x:c>
      <x:c r="C904" s="35" t="n">
        <x:v>53</x:v>
      </x:c>
      <x:c r="D904"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904" s="36" t="str">
        <x:v>SILO1: analysis/design/implementation compared with object-oriented modelling using objects that combine data structure and behaviour; SILO2: abstract data types and encapsulation to localise and minimise change</x:v>
      </x:c>
      <x:c r="F904" s="35" t="n">
        <x:v>0.15</x:v>
      </x:c>
      <x:c r="G904" s="37" t="n">
        <x:f>C904*F904</x:f>
        <x:v>7.949999999999999</x:v>
      </x:c>
    </x:row>
    <x:row r="905" ht="15" hidden="0" customHeight="1">
      <x:c r="A905" s="34" t="str">
        <x:v>STU0083</x:v>
      </x:c>
      <x:c r="B905" s="35" t="str">
        <x:v>CSE1OOF - Practical demonstration</x:v>
      </x:c>
      <x:c r="C905" s="35" t="n">
        <x:v>49</x:v>
      </x:c>
      <x:c r="D905" s="36" t="str">
        <x:v>This limited result shows gaps that require targeted revision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student should revisit the core concepts, seek feedback early and practise applying the techniques in smaller, well-tested examples before attempting the full assessment task.</x:v>
      </x:c>
      <x:c r="E905" s="36" t="str">
        <x:v>SILO2: abstract data types and encapsulation to localise and minimise change; SILO3: code sharing and reuse through object-oriented techniques to reduce development time; SILO4: object-oriented design and implementation of computer programs for real-life problems</x:v>
      </x:c>
      <x:c r="F905" s="35" t="n">
        <x:v>0.2</x:v>
      </x:c>
      <x:c r="G905" s="37" t="n">
        <x:f>C905*F905</x:f>
        <x:v>9.8</x:v>
      </x:c>
    </x:row>
    <x:row r="906" ht="15" hidden="0" customHeight="1">
      <x:c r="A906" s="34" t="str">
        <x:v>STU0083</x:v>
      </x:c>
      <x:c r="B906" s="35" t="str">
        <x:v>CSE1OOF - Assignment</x:v>
      </x:c>
      <x:c r="C906" s="35" t="n">
        <x:v>51</x:v>
      </x:c>
      <x:c r="D906"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906" s="36" t="str">
        <x:v>SILO2: abstract data types and encapsulation to localise and minimise change; SILO3: code sharing and reuse through object-oriented techniques to reduce development time; SILO4: object-oriented design and implementation of computer programs for real-life problems</x:v>
      </x:c>
      <x:c r="F906" s="35" t="n">
        <x:v>0.25</x:v>
      </x:c>
      <x:c r="G906" s="37" t="n">
        <x:f>C906*F906</x:f>
        <x:v>12.75</x:v>
      </x:c>
    </x:row>
    <x:row r="907" ht="15" hidden="0" customHeight="1">
      <x:c r="A907" s="34" t="str">
        <x:v>STU0083</x:v>
      </x:c>
      <x:c r="B907" s="35" t="str">
        <x:v>CSE1OOF - Central examination</x:v>
      </x:c>
      <x:c r="C907" s="35" t="n">
        <x:v>48</x:v>
      </x:c>
      <x:c r="D907" s="36" t="str">
        <x:v>This limited result shows gaps that require targeted revision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The student should revisit the core concepts, seek feedback early and practise applying the techniques in smaller, well-tested examples before attempting the full assessment task.</x:v>
      </x:c>
      <x:c r="E907"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907" s="35" t="n">
        <x:v>0.4</x:v>
      </x:c>
      <x:c r="G907" s="37" t="n">
        <x:f>C907*F907</x:f>
        <x:v>19.200000000000003</x:v>
      </x:c>
    </x:row>
    <x:row r="908" ht="15" hidden="0" customHeight="1">
      <x:c r="A908" s="34" t="str">
        <x:v>STU0083</x:v>
      </x:c>
      <x:c r="B908" s="35" t="str">
        <x:v>CSE2ALG - Test</x:v>
      </x:c>
      <x:c r="C908" s="35" t="n">
        <x:v>56</x:v>
      </x:c>
      <x:c r="D908"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908" s="36" t="str">
        <x:v>SILO1: overall objectives of Algorithms and Data Structures; SILO2: identifying data structures and searching and sorting algorithms in computing contexts; SILO3: implementing data structures and searching and sorting algorithms in Java</x:v>
      </x:c>
      <x:c r="F908" s="35" t="n">
        <x:v>0.2</x:v>
      </x:c>
      <x:c r="G908" s="37" t="n">
        <x:f>C908*F908</x:f>
        <x:v>11.200000000000001</x:v>
      </x:c>
    </x:row>
    <x:row r="909" ht="15" hidden="0" customHeight="1">
      <x:c r="A909" s="34" t="str">
        <x:v>STU0083</x:v>
      </x:c>
      <x:c r="B909" s="35" t="str">
        <x:v>CSE2ALG - Assignment</x:v>
      </x:c>
      <x:c r="C909" s="35" t="n">
        <x:v>58</x:v>
      </x:c>
      <x:c r="D909"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909"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909" s="35" t="n">
        <x:v>0.3</x:v>
      </x:c>
      <x:c r="G909" s="37" t="n">
        <x:f>C909*F909</x:f>
        <x:v>17.4</x:v>
      </x:c>
    </x:row>
    <x:row r="910" ht="15" hidden="0" customHeight="1">
      <x:c r="A910" s="34" t="str">
        <x:v>STU0083</x:v>
      </x:c>
      <x:c r="B910" s="35" t="str">
        <x:v>CSE2ALG - Central examination</x:v>
      </x:c>
      <x:c r="C910" s="35" t="n">
        <x:v>53</x:v>
      </x:c>
      <x:c r="D910" s="36" t="str">
        <x:v>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x:v>
      </x:c>
      <x:c r="E910"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910" s="35" t="n">
        <x:v>0.5</x:v>
      </x:c>
      <x:c r="G910" s="37" t="n">
        <x:f>C910*F910</x:f>
        <x:v>26.5</x:v>
      </x:c>
    </x:row>
    <x:row r="911" ht="15" hidden="0" customHeight="1">
      <x:c r="A911" s="34" t="str">
        <x:v>STU0083</x:v>
      </x:c>
      <x:c r="B911" s="35" t="str">
        <x:v>CSE3CAP - Oral presentation: Project Milestone Presentation</x:v>
      </x:c>
      <x:c r="C911" s="35" t="n">
        <x:v>58</x:v>
      </x:c>
      <x:c r="D911"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911" s="36" t="str">
        <x:v>SILO3: reporting project outcomes to technical and non-technical audiences and reflecting on feedback</x:v>
      </x:c>
      <x:c r="F911" s="35" t="n">
        <x:v>0.1</x:v>
      </x:c>
      <x:c r="G911" s="37" t="n">
        <x:f>C911*F911</x:f>
        <x:v>5.800000000000001</x:v>
      </x:c>
    </x:row>
    <x:row r="912" ht="15" hidden="0" customHeight="1">
      <x:c r="A912" s="34" t="str">
        <x:v>STU0083</x:v>
      </x:c>
      <x:c r="B912" s="35" t="str">
        <x:v>CSE3CAP - Oral presentation: Final Project Presentation</x:v>
      </x:c>
      <x:c r="C912" s="35" t="n">
        <x:v>57</x:v>
      </x:c>
      <x:c r="D912"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912" s="36" t="str">
        <x:v>SILO3: reporting project outcomes to technical and non-technical audiences and reflecting on feedback</x:v>
      </x:c>
      <x:c r="F912" s="35" t="n">
        <x:v>0.2</x:v>
      </x:c>
      <x:c r="G912" s="37" t="n">
        <x:f>C912*F912</x:f>
        <x:v>11.4</x:v>
      </x:c>
    </x:row>
    <x:row r="913" ht="15" hidden="0" customHeight="1">
      <x:c r="A913" s="34" t="str">
        <x:v>STU0083</x:v>
      </x:c>
      <x:c r="B913" s="35" t="str">
        <x:v>CSE3CAP - Assignment: Final written Project Report</x:v>
      </x:c>
      <x:c r="C913" s="35" t="n">
        <x:v>52</x:v>
      </x:c>
      <x:c r="D913"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913" s="36" t="str">
        <x:v>SILO2: industry standard technical solutions in software or cybersecurity practice; SILO4: professional system documentation and advanced technical reporting to industry standards</x:v>
      </x:c>
      <x:c r="F913" s="35" t="n">
        <x:v>0.35</x:v>
      </x:c>
      <x:c r="G913" s="37" t="n">
        <x:f>C913*F913</x:f>
        <x:v>18.2</x:v>
      </x:c>
    </x:row>
    <x:row r="914" ht="15" hidden="0" customHeight="1">
      <x:c r="A914" s="34" t="str">
        <x:v>STU0083</x:v>
      </x:c>
      <x:c r="B914" s="35" t="str">
        <x:v>CSE3CAP - Assignment: Sprint Project management reports</x:v>
      </x:c>
      <x:c r="C914" s="35" t="n">
        <x:v>58</x:v>
      </x:c>
      <x:c r="D914"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914" s="36" t="str">
        <x:v>SILO1: advanced project management during substantive development implementation; SILO2: industry standard technical solutions in software or cybersecurity practice</x:v>
      </x:c>
      <x:c r="F914" s="35" t="n">
        <x:v>0.35</x:v>
      </x:c>
      <x:c r="G914" s="37" t="n">
        <x:f>C914*F914</x:f>
        <x:v>20.299999999999997</x:v>
      </x:c>
    </x:row>
    <x:row r="915" ht="15" hidden="0" customHeight="1">
      <x:c r="A915" s="34" t="str">
        <x:v>STU0084</x:v>
      </x:c>
      <x:c r="B915" s="35" t="str">
        <x:v>CSE1OOF - Test</x:v>
      </x:c>
      <x:c r="C915" s="35" t="n">
        <x:v>48</x:v>
      </x:c>
      <x:c r="D915" s="36" t="str">
        <x:v>This limited result shows gaps that require targeted revision of the relevant learning themes, particularly analysis/design/implementation compared with object-oriented modelling using objects that combine data structure and behaviour and abstract data types and encapsulation to localise and minimise change. The student should revisit the core concepts, seek feedback early and practise applying the techniques in smaller, well-tested examples before attempting the full assessment task.</x:v>
      </x:c>
      <x:c r="E915" s="36" t="str">
        <x:v>SILO1: analysis/design/implementation compared with object-oriented modelling using objects that combine data structure and behaviour; SILO2: abstract data types and encapsulation to localise and minimise change</x:v>
      </x:c>
      <x:c r="F915" s="35" t="n">
        <x:v>0.15</x:v>
      </x:c>
      <x:c r="G915" s="37" t="n">
        <x:f>C915*F915</x:f>
        <x:v>7.199999999999999</x:v>
      </x:c>
    </x:row>
    <x:row r="916" ht="15" hidden="0" customHeight="1">
      <x:c r="A916" s="34" t="str">
        <x:v>STU0084</x:v>
      </x:c>
      <x:c r="B916" s="35" t="str">
        <x:v>CSE1OOF - Practical demonstration</x:v>
      </x:c>
      <x:c r="C916" s="35" t="n">
        <x:v>47</x:v>
      </x:c>
      <x:c r="D916" s="36" t="str">
        <x:v>This limited result shows gaps that require targeted revision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student should revisit the core concepts, seek feedback early and practise applying the techniques in smaller, well-tested examples before attempting the full assessment task.</x:v>
      </x:c>
      <x:c r="E916" s="36" t="str">
        <x:v>SILO2: abstract data types and encapsulation to localise and minimise change; SILO3: code sharing and reuse through object-oriented techniques to reduce development time; SILO4: object-oriented design and implementation of computer programs for real-life problems</x:v>
      </x:c>
      <x:c r="F916" s="35" t="n">
        <x:v>0.2</x:v>
      </x:c>
      <x:c r="G916" s="37" t="n">
        <x:f>C916*F916</x:f>
        <x:v>9.4</x:v>
      </x:c>
    </x:row>
    <x:row r="917" ht="15" hidden="0" customHeight="1">
      <x:c r="A917" s="34" t="str">
        <x:v>STU0084</x:v>
      </x:c>
      <x:c r="B917" s="35" t="str">
        <x:v>CSE1OOF - Assignment</x:v>
      </x:c>
      <x:c r="C917" s="35" t="n">
        <x:v>48</x:v>
      </x:c>
      <x:c r="D917" s="36" t="str">
        <x:v>This limited result shows gaps that require targeted revision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student should revisit the core concepts, seek feedback early and practise applying the techniques in smaller, well-tested examples before attempting the full assessment task.</x:v>
      </x:c>
      <x:c r="E917" s="36" t="str">
        <x:v>SILO2: abstract data types and encapsulation to localise and minimise change; SILO3: code sharing and reuse through object-oriented techniques to reduce development time; SILO4: object-oriented design and implementation of computer programs for real-life problems</x:v>
      </x:c>
      <x:c r="F917" s="35" t="n">
        <x:v>0.25</x:v>
      </x:c>
      <x:c r="G917" s="37" t="n">
        <x:f>C917*F917</x:f>
        <x:v>12</x:v>
      </x:c>
    </x:row>
    <x:row r="918" ht="15" hidden="0" customHeight="1">
      <x:c r="A918" s="34" t="str">
        <x:v>STU0084</x:v>
      </x:c>
      <x:c r="B918" s="35" t="str">
        <x:v>CSE1OOF - Central examination</x:v>
      </x:c>
      <x:c r="C918" s="35" t="n">
        <x:v>45</x:v>
      </x:c>
      <x:c r="D918" s="36" t="str">
        <x:v>This limited result shows gaps that require targeted revision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The student should revisit the core concepts, seek feedback early and practise applying the techniques in smaller, well-tested examples before attempting the full assessment task.</x:v>
      </x:c>
      <x:c r="E918"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918" s="35" t="n">
        <x:v>0.4</x:v>
      </x:c>
      <x:c r="G918" s="37" t="n">
        <x:f>C918*F918</x:f>
        <x:v>18</x:v>
      </x:c>
    </x:row>
    <x:row r="919" ht="15" hidden="0" customHeight="1">
      <x:c r="A919" s="34" t="str">
        <x:v>STU0084</x:v>
      </x:c>
      <x:c r="B919" s="35" t="str">
        <x:v>CSE2ALG - Test</x:v>
      </x:c>
      <x:c r="C919" s="35" t="n">
        <x:v>48</x:v>
      </x:c>
      <x:c r="D919" s="36" t="str">
        <x:v>This limited result shows gaps that require targeted revision of the relevant learning themes, particularly overall objectives of Algorithms and Data Structures, identifying data structures and searching and sorting algorithms in computing contexts, and implementing data structures and searching and sorting algorithms in Java. The student should revisit the core concepts, seek feedback early and practise applying the techniques in smaller, well-tested examples before attempting the full assessment task.</x:v>
      </x:c>
      <x:c r="E919" s="36" t="str">
        <x:v>SILO1: overall objectives of Algorithms and Data Structures; SILO2: identifying data structures and searching and sorting algorithms in computing contexts; SILO3: implementing data structures and searching and sorting algorithms in Java</x:v>
      </x:c>
      <x:c r="F919" s="35" t="n">
        <x:v>0.2</x:v>
      </x:c>
      <x:c r="G919" s="37" t="n">
        <x:f>C919*F919</x:f>
        <x:v>9.600000000000001</x:v>
      </x:c>
    </x:row>
    <x:row r="920" ht="15" hidden="0" customHeight="1">
      <x:c r="A920" s="34" t="str">
        <x:v>STU0084</x:v>
      </x:c>
      <x:c r="B920" s="35" t="str">
        <x:v>CSE2ALG - Assignment</x:v>
      </x:c>
      <x:c r="C920" s="35" t="n">
        <x:v>46</x:v>
      </x:c>
      <x:c r="D920" s="36" t="str">
        <x:v>This limited result shows gaps that require targeted revision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The student should revisit the core concepts, seek feedback early and practise applying the techniques in smaller, well-tested examples before attempting the full assessment task.</x:v>
      </x:c>
      <x:c r="E920"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920" s="35" t="n">
        <x:v>0.3</x:v>
      </x:c>
      <x:c r="G920" s="37" t="n">
        <x:f>C920*F920</x:f>
        <x:v>13.799999999999999</x:v>
      </x:c>
    </x:row>
    <x:row r="921" ht="15" hidden="0" customHeight="1">
      <x:c r="A921" s="34" t="str">
        <x:v>STU0084</x:v>
      </x:c>
      <x:c r="B921" s="35" t="str">
        <x:v>CSE2ALG - Central examination</x:v>
      </x:c>
      <x:c r="C921" s="35" t="n">
        <x:v>48</x:v>
      </x:c>
      <x:c r="D921" s="36" t="str">
        <x:v>This limited result shows gaps that require targeted revision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The student should revisit the core concepts, seek feedback early and practise applying the techniques in smaller, well-tested examples before attempting the full assessment task.</x:v>
      </x:c>
      <x:c r="E921"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921" s="35" t="n">
        <x:v>0.5</x:v>
      </x:c>
      <x:c r="G921" s="37" t="n">
        <x:f>C921*F921</x:f>
        <x:v>24</x:v>
      </x:c>
    </x:row>
    <x:row r="922" ht="15" hidden="0" customHeight="1">
      <x:c r="A922" s="34" t="str">
        <x:v>STU0084</x:v>
      </x:c>
      <x:c r="B922" s="35" t="str">
        <x:v>CSE3CAP - Oral presentation: Project Milestone Presentation</x:v>
      </x:c>
      <x:c r="C922" s="35" t="n">
        <x:v>47</x:v>
      </x:c>
      <x:c r="D922" s="36" t="str">
        <x:v>This limited result shows gaps that require targeted revision of the relevant learning themes, particularly reporting project outcomes to technical and non-technical audiences and reflecting on feedback. The student should revisit the core concepts, seek feedback early and practise applying the techniques in smaller, well-tested examples before attempting the full assessment task.</x:v>
      </x:c>
      <x:c r="E922" s="36" t="str">
        <x:v>SILO3: reporting project outcomes to technical and non-technical audiences and reflecting on feedback</x:v>
      </x:c>
      <x:c r="F922" s="35" t="n">
        <x:v>0.1</x:v>
      </x:c>
      <x:c r="G922" s="37" t="n">
        <x:f>C922*F922</x:f>
        <x:v>4.7</x:v>
      </x:c>
    </x:row>
    <x:row r="923" ht="15" hidden="0" customHeight="1">
      <x:c r="A923" s="34" t="str">
        <x:v>STU0084</x:v>
      </x:c>
      <x:c r="B923" s="35" t="str">
        <x:v>CSE3CAP - Oral presentation: Final Project Presentation</x:v>
      </x:c>
      <x:c r="C923" s="35" t="n">
        <x:v>49</x:v>
      </x:c>
      <x:c r="D923" s="36" t="str">
        <x:v>This limited result shows gaps that require targeted revision of the relevant learning themes, particularly reporting project outcomes to technical and non-technical audiences and reflecting on feedback. The student should revisit the core concepts, seek feedback early and practise applying the techniques in smaller, well-tested examples before attempting the full assessment task.</x:v>
      </x:c>
      <x:c r="E923" s="36" t="str">
        <x:v>SILO3: reporting project outcomes to technical and non-technical audiences and reflecting on feedback</x:v>
      </x:c>
      <x:c r="F923" s="35" t="n">
        <x:v>0.2</x:v>
      </x:c>
      <x:c r="G923" s="37" t="n">
        <x:f>C923*F923</x:f>
        <x:v>9.8</x:v>
      </x:c>
    </x:row>
    <x:row r="924" ht="15" hidden="0" customHeight="1">
      <x:c r="A924" s="34" t="str">
        <x:v>STU0084</x:v>
      </x:c>
      <x:c r="B924" s="35" t="str">
        <x:v>CSE3CAP - Assignment: Final written Project Report</x:v>
      </x:c>
      <x:c r="C924" s="35" t="n">
        <x:v>45</x:v>
      </x:c>
      <x:c r="D924" s="36" t="str">
        <x:v>This limited result shows gaps that require targeted revision of the relevant learning themes, particularly industry standard technical solutions in software or cybersecurity practice and professional system documentation and advanced technical reporting to industry standards. The student should revisit the core concepts, seek feedback early and practise applying the techniques in smaller, well-tested examples before attempting the full assessment task.</x:v>
      </x:c>
      <x:c r="E924" s="36" t="str">
        <x:v>SILO2: industry standard technical solutions in software or cybersecurity practice; SILO4: professional system documentation and advanced technical reporting to industry standards</x:v>
      </x:c>
      <x:c r="F924" s="35" t="n">
        <x:v>0.35</x:v>
      </x:c>
      <x:c r="G924" s="37" t="n">
        <x:f>C924*F924</x:f>
        <x:v>15.749999999999998</x:v>
      </x:c>
    </x:row>
    <x:row r="925" ht="15" hidden="0" customHeight="1">
      <x:c r="A925" s="34" t="str">
        <x:v>STU0084</x:v>
      </x:c>
      <x:c r="B925" s="35" t="str">
        <x:v>CSE3CAP - Assignment: Sprint Project management reports</x:v>
      </x:c>
      <x:c r="C925" s="35" t="n">
        <x:v>49</x:v>
      </x:c>
      <x:c r="D925" s="36" t="str">
        <x:v>This limited result shows gaps that require targeted revision of the relevant learning themes, particularly advanced project management during substantive development implementation and industry standard technical solutions in software or cybersecurity practice. The student should revisit the core concepts, seek feedback early and practise applying the techniques in smaller, well-tested examples before attempting the full assessment task.</x:v>
      </x:c>
      <x:c r="E925" s="36" t="str">
        <x:v>SILO1: advanced project management during substantive development implementation; SILO2: industry standard technical solutions in software or cybersecurity practice</x:v>
      </x:c>
      <x:c r="F925" s="35" t="n">
        <x:v>0.35</x:v>
      </x:c>
      <x:c r="G925" s="37" t="n">
        <x:f>C925*F925</x:f>
        <x:v>17.15</x:v>
      </x:c>
    </x:row>
    <x:row r="926" ht="15" hidden="0" customHeight="1">
      <x:c r="A926" s="34" t="str">
        <x:v>STU0085</x:v>
      </x:c>
      <x:c r="B926" s="35" t="str">
        <x:v>CSE1OOF - Test</x:v>
      </x:c>
      <x:c r="C926" s="35" t="n">
        <x:v>62</x:v>
      </x:c>
      <x:c r="D926"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926" s="36" t="str">
        <x:v>SILO1: analysis/design/implementation compared with object-oriented modelling using objects that combine data structure and behaviour; SILO2: abstract data types and encapsulation to localise and minimise change</x:v>
      </x:c>
      <x:c r="F926" s="35" t="n">
        <x:v>0.15</x:v>
      </x:c>
      <x:c r="G926" s="37" t="n">
        <x:f>C926*F926</x:f>
        <x:v>9.299999999999999</x:v>
      </x:c>
    </x:row>
    <x:row r="927" ht="15" hidden="0" customHeight="1">
      <x:c r="A927" s="34" t="str">
        <x:v>STU0085</x:v>
      </x:c>
      <x:c r="B927" s="35" t="str">
        <x:v>CSE1OOF - Practical demonstration</x:v>
      </x:c>
      <x:c r="C927" s="35" t="n">
        <x:v>62</x:v>
      </x:c>
      <x:c r="D927"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927" s="36" t="str">
        <x:v>SILO2: abstract data types and encapsulation to localise and minimise change; SILO3: code sharing and reuse through object-oriented techniques to reduce development time; SILO4: object-oriented design and implementation of computer programs for real-life problems</x:v>
      </x:c>
      <x:c r="F927" s="35" t="n">
        <x:v>0.2</x:v>
      </x:c>
      <x:c r="G927" s="37" t="n">
        <x:f>C927*F927</x:f>
        <x:v>12.4</x:v>
      </x:c>
    </x:row>
    <x:row r="928" ht="15" hidden="0" customHeight="1">
      <x:c r="A928" s="34" t="str">
        <x:v>STU0085</x:v>
      </x:c>
      <x:c r="B928" s="35" t="str">
        <x:v>CSE1OOF - Assignment</x:v>
      </x:c>
      <x:c r="C928" s="35" t="n">
        <x:v>66</x:v>
      </x:c>
      <x:c r="D928"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928" s="36" t="str">
        <x:v>SILO2: abstract data types and encapsulation to localise and minimise change; SILO3: code sharing and reuse through object-oriented techniques to reduce development time; SILO4: object-oriented design and implementation of computer programs for real-life problems</x:v>
      </x:c>
      <x:c r="F928" s="35" t="n">
        <x:v>0.25</x:v>
      </x:c>
      <x:c r="G928" s="37" t="n">
        <x:f>C928*F928</x:f>
        <x:v>16.5</x:v>
      </x:c>
    </x:row>
    <x:row r="929" ht="15" hidden="0" customHeight="1">
      <x:c r="A929" s="34" t="str">
        <x:v>STU0085</x:v>
      </x:c>
      <x:c r="B929" s="35" t="str">
        <x:v>CSE1OOF - Central examination</x:v>
      </x:c>
      <x:c r="C929" s="35" t="n">
        <x:v>68</x:v>
      </x:c>
      <x:c r="D929"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929"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929" s="35" t="n">
        <x:v>0.4</x:v>
      </x:c>
      <x:c r="G929" s="37" t="n">
        <x:f>C929*F929</x:f>
        <x:v>27.200000000000003</x:v>
      </x:c>
    </x:row>
    <x:row r="930" ht="15" hidden="0" customHeight="1">
      <x:c r="A930" s="34" t="str">
        <x:v>STU0085</x:v>
      </x:c>
      <x:c r="B930" s="35" t="str">
        <x:v>CSE2ALG - Test</x:v>
      </x:c>
      <x:c r="C930" s="35" t="n">
        <x:v>64</x:v>
      </x:c>
      <x:c r="D930"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930" s="36" t="str">
        <x:v>SILO1: overall objectives of Algorithms and Data Structures; SILO2: identifying data structures and searching and sorting algorithms in computing contexts; SILO3: implementing data structures and searching and sorting algorithms in Java</x:v>
      </x:c>
      <x:c r="F930" s="35" t="n">
        <x:v>0.2</x:v>
      </x:c>
      <x:c r="G930" s="37" t="n">
        <x:f>C930*F930</x:f>
        <x:v>12.8</x:v>
      </x:c>
    </x:row>
    <x:row r="931" ht="15" hidden="0" customHeight="1">
      <x:c r="A931" s="34" t="str">
        <x:v>STU0085</x:v>
      </x:c>
      <x:c r="B931" s="35" t="str">
        <x:v>CSE2ALG - Assignment</x:v>
      </x:c>
      <x:c r="C931" s="35" t="n">
        <x:v>62</x:v>
      </x:c>
      <x:c r="D931"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931"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931" s="35" t="n">
        <x:v>0.3</x:v>
      </x:c>
      <x:c r="G931" s="37" t="n">
        <x:f>C931*F931</x:f>
        <x:v>18.599999999999998</x:v>
      </x:c>
    </x:row>
    <x:row r="932" ht="15" hidden="0" customHeight="1">
      <x:c r="A932" s="34" t="str">
        <x:v>STU0085</x:v>
      </x:c>
      <x:c r="B932" s="35" t="str">
        <x:v>CSE2ALG - Central examination</x:v>
      </x:c>
      <x:c r="C932" s="35" t="n">
        <x:v>61</x:v>
      </x:c>
      <x:c r="D932" s="36" t="str">
        <x:v>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x:v>
      </x:c>
      <x:c r="E932"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932" s="35" t="n">
        <x:v>0.5</x:v>
      </x:c>
      <x:c r="G932" s="37" t="n">
        <x:f>C932*F932</x:f>
        <x:v>30.5</x:v>
      </x:c>
    </x:row>
    <x:row r="933" ht="15" hidden="0" customHeight="1">
      <x:c r="A933" s="34" t="str">
        <x:v>STU0085</x:v>
      </x:c>
      <x:c r="B933" s="35" t="str">
        <x:v>CSE3CAP - Oral presentation: Project Milestone Presentation</x:v>
      </x:c>
      <x:c r="C933" s="35" t="n">
        <x:v>65</x:v>
      </x:c>
      <x:c r="D933"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933" s="36" t="str">
        <x:v>SILO3: reporting project outcomes to technical and non-technical audiences and reflecting on feedback</x:v>
      </x:c>
      <x:c r="F933" s="35" t="n">
        <x:v>0.1</x:v>
      </x:c>
      <x:c r="G933" s="37" t="n">
        <x:f>C933*F933</x:f>
        <x:v>6.5</x:v>
      </x:c>
    </x:row>
    <x:row r="934" ht="15" hidden="0" customHeight="1">
      <x:c r="A934" s="34" t="str">
        <x:v>STU0085</x:v>
      </x:c>
      <x:c r="B934" s="35" t="str">
        <x:v>CSE3CAP - Oral presentation: Final Project Presentation</x:v>
      </x:c>
      <x:c r="C934" s="35" t="n">
        <x:v>69</x:v>
      </x:c>
      <x:c r="D934"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934" s="36" t="str">
        <x:v>SILO3: reporting project outcomes to technical and non-technical audiences and reflecting on feedback</x:v>
      </x:c>
      <x:c r="F934" s="35" t="n">
        <x:v>0.2</x:v>
      </x:c>
      <x:c r="G934" s="37" t="n">
        <x:f>C934*F934</x:f>
        <x:v>13.8</x:v>
      </x:c>
    </x:row>
    <x:row r="935" ht="15" hidden="0" customHeight="1">
      <x:c r="A935" s="34" t="str">
        <x:v>STU0085</x:v>
      </x:c>
      <x:c r="B935" s="35" t="str">
        <x:v>CSE3CAP - Assignment: Final written Project Report</x:v>
      </x:c>
      <x:c r="C935" s="35" t="n">
        <x:v>65</x:v>
      </x:c>
      <x:c r="D935" s="36" t="str">
        <x:v>This sound result shows a competent and generally reliable grasp of the relevant learning themes, particularly industry standard technical solutions in software or cybersecurity practice and professional system documentation and advanced technical reporting to industry standards. To strengthen the result, the student should provide clearer reasoning, improve technical precision and show more complete testing or reflection.</x:v>
      </x:c>
      <x:c r="E935" s="36" t="str">
        <x:v>SILO2: industry standard technical solutions in software or cybersecurity practice; SILO4: professional system documentation and advanced technical reporting to industry standards</x:v>
      </x:c>
      <x:c r="F935" s="35" t="n">
        <x:v>0.35</x:v>
      </x:c>
      <x:c r="G935" s="37" t="n">
        <x:f>C935*F935</x:f>
        <x:v>22.75</x:v>
      </x:c>
    </x:row>
    <x:row r="936" ht="15" hidden="0" customHeight="1">
      <x:c r="A936" s="34" t="str">
        <x:v>STU0085</x:v>
      </x:c>
      <x:c r="B936" s="35" t="str">
        <x:v>CSE3CAP - Assignment: Sprint Project management reports</x:v>
      </x:c>
      <x:c r="C936" s="35" t="n">
        <x:v>68</x:v>
      </x:c>
      <x:c r="D936" s="36" t="str">
        <x:v>This sound result shows a competent and generally reliable grasp of the relevant learning themes, particularly advanced project management during substantive development implementation and industry standard technical solutions in software or cybersecurity practice. To strengthen the result, the student should provide clearer reasoning, improve technical precision and show more complete testing or reflection.</x:v>
      </x:c>
      <x:c r="E936" s="36" t="str">
        <x:v>SILO1: advanced project management during substantive development implementation; SILO2: industry standard technical solutions in software or cybersecurity practice</x:v>
      </x:c>
      <x:c r="F936" s="35" t="n">
        <x:v>0.35</x:v>
      </x:c>
      <x:c r="G936" s="37" t="n">
        <x:f>C936*F936</x:f>
        <x:v>23.799999999999997</x:v>
      </x:c>
    </x:row>
    <x:row r="937" ht="15" hidden="0" customHeight="1">
      <x:c r="A937" s="34" t="str">
        <x:v>STU0086</x:v>
      </x:c>
      <x:c r="B937" s="35" t="str">
        <x:v>CSE1OOF - Test</x:v>
      </x:c>
      <x:c r="C937" s="35" t="n">
        <x:v>80</x:v>
      </x:c>
      <x:c r="D937" s="36" t="str">
        <x:v>This strong result shows well-developed understanding of the relevant learning themes, particularly analysis/design/implementation compared with object-oriented modelling using objects that combine data structure and behaviour and abstract data types and encapsulation to localise and minimise change. Further improvement would come from deeper justification, more consistent evaluation evidence and tighter links between decisions and implementation details.</x:v>
      </x:c>
      <x:c r="E937" s="36" t="str">
        <x:v>SILO1: analysis/design/implementation compared with object-oriented modelling using objects that combine data structure and behaviour; SILO2: abstract data types and encapsulation to localise and minimise change</x:v>
      </x:c>
      <x:c r="F937" s="35" t="n">
        <x:v>0.15</x:v>
      </x:c>
      <x:c r="G937" s="37" t="n">
        <x:f>C937*F937</x:f>
        <x:v>12</x:v>
      </x:c>
    </x:row>
    <x:row r="938" ht="15" hidden="0" customHeight="1">
      <x:c r="A938" s="34" t="str">
        <x:v>STU0086</x:v>
      </x:c>
      <x:c r="B938" s="35" t="str">
        <x:v>CSE1OOF - Practical demonstration</x:v>
      </x:c>
      <x:c r="C938" s="35" t="n">
        <x:v>85</x:v>
      </x:c>
      <x:c r="D938" s="36" t="str">
        <x:v>This excellent result demonstrates confident and independent command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work is clear, accurate and well justified, with only minor opportunities to further polish explanation or evaluation.</x:v>
      </x:c>
      <x:c r="E938" s="36" t="str">
        <x:v>SILO2: abstract data types and encapsulation to localise and minimise change; SILO3: code sharing and reuse through object-oriented techniques to reduce development time; SILO4: object-oriented design and implementation of computer programs for real-life problems</x:v>
      </x:c>
      <x:c r="F938" s="35" t="n">
        <x:v>0.2</x:v>
      </x:c>
      <x:c r="G938" s="37" t="n">
        <x:f>C938*F938</x:f>
        <x:v>17</x:v>
      </x:c>
    </x:row>
    <x:row r="939" ht="15" hidden="0" customHeight="1">
      <x:c r="A939" s="34" t="str">
        <x:v>STU0086</x:v>
      </x:c>
      <x:c r="B939" s="35" t="str">
        <x:v>CSE1OOF - Assignment</x:v>
      </x:c>
      <x:c r="C939" s="35" t="n">
        <x:v>85</x:v>
      </x:c>
      <x:c r="D939" s="36" t="str">
        <x:v>This excellent result demonstrates confident and independent command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work is clear, accurate and well justified, with only minor opportunities to further polish explanation or evaluation.</x:v>
      </x:c>
      <x:c r="E939" s="36" t="str">
        <x:v>SILO2: abstract data types and encapsulation to localise and minimise change; SILO3: code sharing and reuse through object-oriented techniques to reduce development time; SILO4: object-oriented design and implementation of computer programs for real-life problems</x:v>
      </x:c>
      <x:c r="F939" s="35" t="n">
        <x:v>0.25</x:v>
      </x:c>
      <x:c r="G939" s="37" t="n">
        <x:f>C939*F939</x:f>
        <x:v>21.25</x:v>
      </x:c>
    </x:row>
    <x:row r="940" ht="15" hidden="0" customHeight="1">
      <x:c r="A940" s="34" t="str">
        <x:v>STU0086</x:v>
      </x:c>
      <x:c r="B940" s="35" t="str">
        <x:v>CSE1OOF - Central examination</x:v>
      </x:c>
      <x:c r="C940" s="35" t="n">
        <x:v>85</x:v>
      </x:c>
      <x:c r="D940" s="36" t="str">
        <x:v>This excellent result demonstrates confident and independent command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The work is clear, accurate and well justified, with only minor opportunities to further polish explanation or evaluation.</x:v>
      </x:c>
      <x:c r="E940"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940" s="35" t="n">
        <x:v>0.4</x:v>
      </x:c>
      <x:c r="G940" s="37" t="n">
        <x:f>C940*F940</x:f>
        <x:v>34</x:v>
      </x:c>
    </x:row>
    <x:row r="941" ht="15" hidden="0" customHeight="1">
      <x:c r="A941" s="34" t="str">
        <x:v>STU0086</x:v>
      </x:c>
      <x:c r="B941" s="35" t="str">
        <x:v>CSE2ALG - Test</x:v>
      </x:c>
      <x:c r="C941" s="35" t="n">
        <x:v>75</x:v>
      </x:c>
      <x:c r="D941" s="36" t="str">
        <x:v>This strong result shows well-developed understanding of the relevant learning themes, particularly overall objectives of Algorithms and Data Structures, identifying data structures and searching and sorting algorithms in computing contexts, and implementing data structures and searching and sorting algorithms in Java. Further improvement would come from deeper justification, more consistent evaluation evidence and tighter links between decisions and implementation details.</x:v>
      </x:c>
      <x:c r="E941" s="36" t="str">
        <x:v>SILO1: overall objectives of Algorithms and Data Structures; SILO2: identifying data structures and searching and sorting algorithms in computing contexts; SILO3: implementing data structures and searching and sorting algorithms in Java</x:v>
      </x:c>
      <x:c r="F941" s="35" t="n">
        <x:v>0.2</x:v>
      </x:c>
      <x:c r="G941" s="37" t="n">
        <x:f>C941*F941</x:f>
        <x:v>15</x:v>
      </x:c>
    </x:row>
    <x:row r="942" ht="15" hidden="0" customHeight="1">
      <x:c r="A942" s="34" t="str">
        <x:v>STU0086</x:v>
      </x:c>
      <x:c r="B942" s="35" t="str">
        <x:v>CSE2ALG - Assignment</x:v>
      </x:c>
      <x:c r="C942" s="35" t="n">
        <x:v>75</x:v>
      </x:c>
      <x:c r="D942" s="36" t="str">
        <x:v>This strong result shows well-developed understanding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Further improvement would come from deeper justification, more consistent evaluation evidence and tighter links between decisions and implementation details.</x:v>
      </x:c>
      <x:c r="E942"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942" s="35" t="n">
        <x:v>0.3</x:v>
      </x:c>
      <x:c r="G942" s="37" t="n">
        <x:f>C942*F942</x:f>
        <x:v>22.5</x:v>
      </x:c>
    </x:row>
    <x:row r="943" ht="15" hidden="0" customHeight="1">
      <x:c r="A943" s="34" t="str">
        <x:v>STU0086</x:v>
      </x:c>
      <x:c r="B943" s="35" t="str">
        <x:v>CSE2ALG - Central examination</x:v>
      </x:c>
      <x:c r="C943" s="35" t="n">
        <x:v>79</x:v>
      </x:c>
      <x:c r="D943" s="36" t="str">
        <x:v>This strong result shows well-developed understanding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Further improvement would come from deeper justification, more consistent evaluation evidence and tighter links between decisions and implementation details.</x:v>
      </x:c>
      <x:c r="E943"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943" s="35" t="n">
        <x:v>0.5</x:v>
      </x:c>
      <x:c r="G943" s="37" t="n">
        <x:f>C943*F943</x:f>
        <x:v>39.5</x:v>
      </x:c>
    </x:row>
    <x:row r="944" ht="15" hidden="0" customHeight="1">
      <x:c r="A944" s="34" t="str">
        <x:v>STU0086</x:v>
      </x:c>
      <x:c r="B944" s="35" t="str">
        <x:v>CSE3CAP - Oral presentation: Project Milestone Presentation</x:v>
      </x:c>
      <x:c r="C944" s="35" t="n">
        <x:v>79</x:v>
      </x:c>
      <x:c r="D944"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944" s="36" t="str">
        <x:v>SILO3: reporting project outcomes to technical and non-technical audiences and reflecting on feedback</x:v>
      </x:c>
      <x:c r="F944" s="35" t="n">
        <x:v>0.1</x:v>
      </x:c>
      <x:c r="G944" s="37" t="n">
        <x:f>C944*F944</x:f>
        <x:v>7.9</x:v>
      </x:c>
    </x:row>
    <x:row r="945" ht="15" hidden="0" customHeight="1">
      <x:c r="A945" s="34" t="str">
        <x:v>STU0086</x:v>
      </x:c>
      <x:c r="B945" s="35" t="str">
        <x:v>CSE3CAP - Oral presentation: Final Project Presentation</x:v>
      </x:c>
      <x:c r="C945" s="35" t="n">
        <x:v>78</x:v>
      </x:c>
      <x:c r="D945"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945" s="36" t="str">
        <x:v>SILO3: reporting project outcomes to technical and non-technical audiences and reflecting on feedback</x:v>
      </x:c>
      <x:c r="F945" s="35" t="n">
        <x:v>0.2</x:v>
      </x:c>
      <x:c r="G945" s="37" t="n">
        <x:f>C945*F945</x:f>
        <x:v>15.600000000000001</x:v>
      </x:c>
    </x:row>
    <x:row r="946" ht="15" hidden="0" customHeight="1">
      <x:c r="A946" s="34" t="str">
        <x:v>STU0086</x:v>
      </x:c>
      <x:c r="B946" s="35" t="str">
        <x:v>CSE3CAP - Assignment: Final written Project Report</x:v>
      </x:c>
      <x:c r="C946" s="35" t="n">
        <x:v>80</x:v>
      </x:c>
      <x:c r="D946" s="36" t="str">
        <x:v>This strong result shows well-developed understanding of the relevant learning themes, particularly industry standard technical solutions in software or cybersecurity practice and professional system documentation and advanced technical reporting to industry standards. Further improvement would come from deeper justification, more consistent evaluation evidence and tighter links between decisions and implementation details.</x:v>
      </x:c>
      <x:c r="E946" s="36" t="str">
        <x:v>SILO2: industry standard technical solutions in software or cybersecurity practice; SILO4: professional system documentation and advanced technical reporting to industry standards</x:v>
      </x:c>
      <x:c r="F946" s="35" t="n">
        <x:v>0.35</x:v>
      </x:c>
      <x:c r="G946" s="37" t="n">
        <x:f>C946*F946</x:f>
        <x:v>28</x:v>
      </x:c>
    </x:row>
    <x:row r="947" ht="15" hidden="0" customHeight="1">
      <x:c r="A947" s="34" t="str">
        <x:v>STU0086</x:v>
      </x:c>
      <x:c r="B947" s="35" t="str">
        <x:v>CSE3CAP - Assignment: Sprint Project management reports</x:v>
      </x:c>
      <x:c r="C947" s="35" t="n">
        <x:v>83</x:v>
      </x:c>
      <x:c r="D947" s="36" t="str">
        <x:v>This strong result shows well-developed understanding of the relevant learning themes, particularly advanced project management during substantive development implementation and industry standard technical solutions in software or cybersecurity practice. Further improvement would come from deeper justification, more consistent evaluation evidence and tighter links between decisions and implementation details.</x:v>
      </x:c>
      <x:c r="E947" s="36" t="str">
        <x:v>SILO1: advanced project management during substantive development implementation; SILO2: industry standard technical solutions in software or cybersecurity practice</x:v>
      </x:c>
      <x:c r="F947" s="35" t="n">
        <x:v>0.35</x:v>
      </x:c>
      <x:c r="G947" s="37" t="n">
        <x:f>C947*F947</x:f>
        <x:v>29.049999999999997</x:v>
      </x:c>
    </x:row>
    <x:row r="948" ht="15" hidden="0" customHeight="1">
      <x:c r="A948" s="34" t="str">
        <x:v>STU0087</x:v>
      </x:c>
      <x:c r="B948" s="35" t="str">
        <x:v>CSE1OOF - Test</x:v>
      </x:c>
      <x:c r="C948" s="35" t="n">
        <x:v>60</x:v>
      </x:c>
      <x:c r="D948"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948" s="36" t="str">
        <x:v>SILO1: analysis/design/implementation compared with object-oriented modelling using objects that combine data structure and behaviour; SILO2: abstract data types and encapsulation to localise and minimise change</x:v>
      </x:c>
      <x:c r="F948" s="35" t="n">
        <x:v>0.15</x:v>
      </x:c>
      <x:c r="G948" s="37" t="n">
        <x:f>C948*F948</x:f>
        <x:v>9</x:v>
      </x:c>
    </x:row>
    <x:row r="949" ht="15" hidden="0" customHeight="1">
      <x:c r="A949" s="34" t="str">
        <x:v>STU0087</x:v>
      </x:c>
      <x:c r="B949" s="35" t="str">
        <x:v>CSE1OOF - Practical demonstration</x:v>
      </x:c>
      <x:c r="C949" s="35" t="n">
        <x:v>58</x:v>
      </x:c>
      <x:c r="D949"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949" s="36" t="str">
        <x:v>SILO2: abstract data types and encapsulation to localise and minimise change; SILO3: code sharing and reuse through object-oriented techniques to reduce development time; SILO4: object-oriented design and implementation of computer programs for real-life problems</x:v>
      </x:c>
      <x:c r="F949" s="35" t="n">
        <x:v>0.2</x:v>
      </x:c>
      <x:c r="G949" s="37" t="n">
        <x:f>C949*F949</x:f>
        <x:v>11.600000000000001</x:v>
      </x:c>
    </x:row>
    <x:row r="950" ht="15" hidden="0" customHeight="1">
      <x:c r="A950" s="34" t="str">
        <x:v>STU0087</x:v>
      </x:c>
      <x:c r="B950" s="35" t="str">
        <x:v>CSE1OOF - Assignment</x:v>
      </x:c>
      <x:c r="C950" s="35" t="n">
        <x:v>57</x:v>
      </x:c>
      <x:c r="D950"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950" s="36" t="str">
        <x:v>SILO2: abstract data types and encapsulation to localise and minimise change; SILO3: code sharing and reuse through object-oriented techniques to reduce development time; SILO4: object-oriented design and implementation of computer programs for real-life problems</x:v>
      </x:c>
      <x:c r="F950" s="35" t="n">
        <x:v>0.25</x:v>
      </x:c>
      <x:c r="G950" s="37" t="n">
        <x:f>C950*F950</x:f>
        <x:v>14.25</x:v>
      </x:c>
    </x:row>
    <x:row r="951" ht="15" hidden="0" customHeight="1">
      <x:c r="A951" s="34" t="str">
        <x:v>STU0087</x:v>
      </x:c>
      <x:c r="B951" s="35" t="str">
        <x:v>CSE1OOF - Central examination</x:v>
      </x:c>
      <x:c r="C951" s="35" t="n">
        <x:v>56</x:v>
      </x:c>
      <x:c r="D951" s="36" t="str">
        <x:v>This developing result meets the core requirements but needs greater consistency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Future work should focus on consolidating the underlying concepts, applying them more consistently and explaining design or implementation decisions with stronger evidence.</x:v>
      </x:c>
      <x:c r="E951"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951" s="35" t="n">
        <x:v>0.4</x:v>
      </x:c>
      <x:c r="G951" s="37" t="n">
        <x:f>C951*F951</x:f>
        <x:v>22.400000000000002</x:v>
      </x:c>
    </x:row>
    <x:row r="952" ht="15" hidden="0" customHeight="1">
      <x:c r="A952" s="34" t="str">
        <x:v>STU0087</x:v>
      </x:c>
      <x:c r="B952" s="35" t="str">
        <x:v>CSE2ALG - Test</x:v>
      </x:c>
      <x:c r="C952" s="35" t="n">
        <x:v>61</x:v>
      </x:c>
      <x:c r="D952"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952" s="36" t="str">
        <x:v>SILO1: overall objectives of Algorithms and Data Structures; SILO2: identifying data structures and searching and sorting algorithms in computing contexts; SILO3: implementing data structures and searching and sorting algorithms in Java</x:v>
      </x:c>
      <x:c r="F952" s="35" t="n">
        <x:v>0.2</x:v>
      </x:c>
      <x:c r="G952" s="37" t="n">
        <x:f>C952*F952</x:f>
        <x:v>12.200000000000001</x:v>
      </x:c>
    </x:row>
    <x:row r="953" ht="15" hidden="0" customHeight="1">
      <x:c r="A953" s="34" t="str">
        <x:v>STU0087</x:v>
      </x:c>
      <x:c r="B953" s="35" t="str">
        <x:v>CSE2ALG - Assignment</x:v>
      </x:c>
      <x:c r="C953" s="35" t="n">
        <x:v>56</x:v>
      </x:c>
      <x:c r="D953"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953"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953" s="35" t="n">
        <x:v>0.3</x:v>
      </x:c>
      <x:c r="G953" s="37" t="n">
        <x:f>C953*F953</x:f>
        <x:v>16.8</x:v>
      </x:c>
    </x:row>
    <x:row r="954" ht="15" hidden="0" customHeight="1">
      <x:c r="A954" s="34" t="str">
        <x:v>STU0087</x:v>
      </x:c>
      <x:c r="B954" s="35" t="str">
        <x:v>CSE2ALG - Central examination</x:v>
      </x:c>
      <x:c r="C954" s="35" t="n">
        <x:v>61</x:v>
      </x:c>
      <x:c r="D954" s="36" t="str">
        <x:v>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x:v>
      </x:c>
      <x:c r="E954"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954" s="35" t="n">
        <x:v>0.5</x:v>
      </x:c>
      <x:c r="G954" s="37" t="n">
        <x:f>C954*F954</x:f>
        <x:v>30.5</x:v>
      </x:c>
    </x:row>
    <x:row r="955" ht="15" hidden="0" customHeight="1">
      <x:c r="A955" s="34" t="str">
        <x:v>STU0087</x:v>
      </x:c>
      <x:c r="B955" s="35" t="str">
        <x:v>CSE3CAP - Oral presentation: Project Milestone Presentation</x:v>
      </x:c>
      <x:c r="C955" s="35" t="n">
        <x:v>62</x:v>
      </x:c>
      <x:c r="D955"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955" s="36" t="str">
        <x:v>SILO3: reporting project outcomes to technical and non-technical audiences and reflecting on feedback</x:v>
      </x:c>
      <x:c r="F955" s="35" t="n">
        <x:v>0.1</x:v>
      </x:c>
      <x:c r="G955" s="37" t="n">
        <x:f>C955*F955</x:f>
        <x:v>6.2</x:v>
      </x:c>
    </x:row>
    <x:row r="956" ht="15" hidden="0" customHeight="1">
      <x:c r="A956" s="34" t="str">
        <x:v>STU0087</x:v>
      </x:c>
      <x:c r="B956" s="35" t="str">
        <x:v>CSE3CAP - Oral presentation: Final Project Presentation</x:v>
      </x:c>
      <x:c r="C956" s="35" t="n">
        <x:v>60</x:v>
      </x:c>
      <x:c r="D956"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956" s="36" t="str">
        <x:v>SILO3: reporting project outcomes to technical and non-technical audiences and reflecting on feedback</x:v>
      </x:c>
      <x:c r="F956" s="35" t="n">
        <x:v>0.2</x:v>
      </x:c>
      <x:c r="G956" s="37" t="n">
        <x:f>C956*F956</x:f>
        <x:v>12</x:v>
      </x:c>
    </x:row>
    <x:row r="957" ht="15" hidden="0" customHeight="1">
      <x:c r="A957" s="34" t="str">
        <x:v>STU0087</x:v>
      </x:c>
      <x:c r="B957" s="35" t="str">
        <x:v>CSE3CAP - Assignment: Final written Project Report</x:v>
      </x:c>
      <x:c r="C957" s="35" t="n">
        <x:v>64</x:v>
      </x:c>
      <x:c r="D957"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957" s="36" t="str">
        <x:v>SILO2: industry standard technical solutions in software or cybersecurity practice; SILO4: professional system documentation and advanced technical reporting to industry standards</x:v>
      </x:c>
      <x:c r="F957" s="35" t="n">
        <x:v>0.35</x:v>
      </x:c>
      <x:c r="G957" s="37" t="n">
        <x:f>C957*F957</x:f>
        <x:v>22.4</x:v>
      </x:c>
    </x:row>
    <x:row r="958" ht="15" hidden="0" customHeight="1">
      <x:c r="A958" s="34" t="str">
        <x:v>STU0087</x:v>
      </x:c>
      <x:c r="B958" s="35" t="str">
        <x:v>CSE3CAP - Assignment: Sprint Project management reports</x:v>
      </x:c>
      <x:c r="C958" s="35" t="n">
        <x:v>62</x:v>
      </x:c>
      <x:c r="D958"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958" s="36" t="str">
        <x:v>SILO1: advanced project management during substantive development implementation; SILO2: industry standard technical solutions in software or cybersecurity practice</x:v>
      </x:c>
      <x:c r="F958" s="35" t="n">
        <x:v>0.35</x:v>
      </x:c>
      <x:c r="G958" s="37" t="n">
        <x:f>C958*F958</x:f>
        <x:v>21.7</x:v>
      </x:c>
    </x:row>
    <x:row r="959" ht="15" hidden="0" customHeight="1">
      <x:c r="A959" s="34" t="str">
        <x:v>STU0088</x:v>
      </x:c>
      <x:c r="B959" s="35" t="str">
        <x:v>CSE1OOF - Test</x:v>
      </x:c>
      <x:c r="C959" s="35" t="n">
        <x:v>78</x:v>
      </x:c>
      <x:c r="D959" s="36" t="str">
        <x:v>This strong result shows well-developed understanding of the relevant learning themes, particularly analysis/design/implementation compared with object-oriented modelling using objects that combine data structure and behaviour and abstract data types and encapsulation to localise and minimise change. Further improvement would come from deeper justification, more consistent evaluation evidence and tighter links between decisions and implementation details.</x:v>
      </x:c>
      <x:c r="E959" s="36" t="str">
        <x:v>SILO1: analysis/design/implementation compared with object-oriented modelling using objects that combine data structure and behaviour; SILO2: abstract data types and encapsulation to localise and minimise change</x:v>
      </x:c>
      <x:c r="F959" s="35" t="n">
        <x:v>0.15</x:v>
      </x:c>
      <x:c r="G959" s="37" t="n">
        <x:f>C959*F959</x:f>
        <x:v>11.7</x:v>
      </x:c>
    </x:row>
    <x:row r="960" ht="15" hidden="0" customHeight="1">
      <x:c r="A960" s="34" t="str">
        <x:v>STU0088</x:v>
      </x:c>
      <x:c r="B960" s="35" t="str">
        <x:v>CSE1OOF - Practical demonstration</x:v>
      </x:c>
      <x:c r="C960" s="35" t="n">
        <x:v>77</x:v>
      </x:c>
      <x:c r="D960"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960" s="36" t="str">
        <x:v>SILO2: abstract data types and encapsulation to localise and minimise change; SILO3: code sharing and reuse through object-oriented techniques to reduce development time; SILO4: object-oriented design and implementation of computer programs for real-life problems</x:v>
      </x:c>
      <x:c r="F960" s="35" t="n">
        <x:v>0.2</x:v>
      </x:c>
      <x:c r="G960" s="37" t="n">
        <x:f>C960*F960</x:f>
        <x:v>15.4</x:v>
      </x:c>
    </x:row>
    <x:row r="961" ht="15" hidden="0" customHeight="1">
      <x:c r="A961" s="34" t="str">
        <x:v>STU0088</x:v>
      </x:c>
      <x:c r="B961" s="35" t="str">
        <x:v>CSE1OOF - Assignment</x:v>
      </x:c>
      <x:c r="C961" s="35" t="n">
        <x:v>76</x:v>
      </x:c>
      <x:c r="D961"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961" s="36" t="str">
        <x:v>SILO2: abstract data types and encapsulation to localise and minimise change; SILO3: code sharing and reuse through object-oriented techniques to reduce development time; SILO4: object-oriented design and implementation of computer programs for real-life problems</x:v>
      </x:c>
      <x:c r="F961" s="35" t="n">
        <x:v>0.25</x:v>
      </x:c>
      <x:c r="G961" s="37" t="n">
        <x:f>C961*F961</x:f>
        <x:v>19</x:v>
      </x:c>
    </x:row>
    <x:row r="962" ht="15" hidden="0" customHeight="1">
      <x:c r="A962" s="34" t="str">
        <x:v>STU0088</x:v>
      </x:c>
      <x:c r="B962" s="35" t="str">
        <x:v>CSE1OOF - Central examination</x:v>
      </x:c>
      <x:c r="C962" s="35" t="n">
        <x:v>73</x:v>
      </x:c>
      <x:c r="D962"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962"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962" s="35" t="n">
        <x:v>0.4</x:v>
      </x:c>
      <x:c r="G962" s="37" t="n">
        <x:f>C962*F962</x:f>
        <x:v>29.200000000000003</x:v>
      </x:c>
    </x:row>
    <x:row r="963" ht="15" hidden="0" customHeight="1">
      <x:c r="A963" s="34" t="str">
        <x:v>STU0088</x:v>
      </x:c>
      <x:c r="B963" s="35" t="str">
        <x:v>CSE2ALG - Test</x:v>
      </x:c>
      <x:c r="C963" s="35" t="n">
        <x:v>73</x:v>
      </x:c>
      <x:c r="D963"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963" s="36" t="str">
        <x:v>SILO1: overall objectives of Algorithms and Data Structures; SILO2: identifying data structures and searching and sorting algorithms in computing contexts; SILO3: implementing data structures and searching and sorting algorithms in Java</x:v>
      </x:c>
      <x:c r="F963" s="35" t="n">
        <x:v>0.2</x:v>
      </x:c>
      <x:c r="G963" s="37" t="n">
        <x:f>C963*F963</x:f>
        <x:v>14.600000000000001</x:v>
      </x:c>
    </x:row>
    <x:row r="964" ht="15" hidden="0" customHeight="1">
      <x:c r="A964" s="34" t="str">
        <x:v>STU0088</x:v>
      </x:c>
      <x:c r="B964" s="35" t="str">
        <x:v>CSE2ALG - Assignment</x:v>
      </x:c>
      <x:c r="C964" s="35" t="n">
        <x:v>70</x:v>
      </x:c>
      <x:c r="D964" s="36" t="str">
        <x:v>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x:v>
      </x:c>
      <x:c r="E964"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964" s="35" t="n">
        <x:v>0.3</x:v>
      </x:c>
      <x:c r="G964" s="37" t="n">
        <x:f>C964*F964</x:f>
        <x:v>21</x:v>
      </x:c>
    </x:row>
    <x:row r="965" ht="15" hidden="0" customHeight="1">
      <x:c r="A965" s="34" t="str">
        <x:v>STU0088</x:v>
      </x:c>
      <x:c r="B965" s="35" t="str">
        <x:v>CSE2ALG - Central examination</x:v>
      </x:c>
      <x:c r="C965" s="35" t="n">
        <x:v>76</x:v>
      </x:c>
      <x:c r="D965" s="36" t="str">
        <x:v>This strong result shows well-developed understanding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Further improvement would come from deeper justification, more consistent evaluation evidence and tighter links between decisions and implementation details.</x:v>
      </x:c>
      <x:c r="E965"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965" s="35" t="n">
        <x:v>0.5</x:v>
      </x:c>
      <x:c r="G965" s="37" t="n">
        <x:f>C965*F965</x:f>
        <x:v>38</x:v>
      </x:c>
    </x:row>
    <x:row r="966" ht="15" hidden="0" customHeight="1">
      <x:c r="A966" s="34" t="str">
        <x:v>STU0088</x:v>
      </x:c>
      <x:c r="B966" s="35" t="str">
        <x:v>CSE3CAP - Oral presentation: Project Milestone Presentation</x:v>
      </x:c>
      <x:c r="C966" s="35" t="n">
        <x:v>71</x:v>
      </x:c>
      <x:c r="D966"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966" s="36" t="str">
        <x:v>SILO3: reporting project outcomes to technical and non-technical audiences and reflecting on feedback</x:v>
      </x:c>
      <x:c r="F966" s="35" t="n">
        <x:v>0.1</x:v>
      </x:c>
      <x:c r="G966" s="37" t="n">
        <x:f>C966*F966</x:f>
        <x:v>7.1000000000000005</x:v>
      </x:c>
    </x:row>
    <x:row r="967" ht="15" hidden="0" customHeight="1">
      <x:c r="A967" s="34" t="str">
        <x:v>STU0088</x:v>
      </x:c>
      <x:c r="B967" s="35" t="str">
        <x:v>CSE3CAP - Oral presentation: Final Project Presentation</x:v>
      </x:c>
      <x:c r="C967" s="35" t="n">
        <x:v>72</x:v>
      </x:c>
      <x:c r="D967"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967" s="36" t="str">
        <x:v>SILO3: reporting project outcomes to technical and non-technical audiences and reflecting on feedback</x:v>
      </x:c>
      <x:c r="F967" s="35" t="n">
        <x:v>0.2</x:v>
      </x:c>
      <x:c r="G967" s="37" t="n">
        <x:f>C967*F967</x:f>
        <x:v>14.4</x:v>
      </x:c>
    </x:row>
    <x:row r="968" ht="15" hidden="0" customHeight="1">
      <x:c r="A968" s="34" t="str">
        <x:v>STU0088</x:v>
      </x:c>
      <x:c r="B968" s="35" t="str">
        <x:v>CSE3CAP - Assignment: Final written Project Report</x:v>
      </x:c>
      <x:c r="C968" s="35" t="n">
        <x:v>73</x:v>
      </x:c>
      <x:c r="D968" s="36" t="str">
        <x:v>This sound result shows a competent and generally reliable grasp of the relevant learning themes, particularly industry standard technical solutions in software or cybersecurity practice and professional system documentation and advanced technical reporting to industry standards. To strengthen the result, the student should provide clearer reasoning, improve technical precision and show more complete testing or reflection.</x:v>
      </x:c>
      <x:c r="E968" s="36" t="str">
        <x:v>SILO2: industry standard technical solutions in software or cybersecurity practice; SILO4: professional system documentation and advanced technical reporting to industry standards</x:v>
      </x:c>
      <x:c r="F968" s="35" t="n">
        <x:v>0.35</x:v>
      </x:c>
      <x:c r="G968" s="37" t="n">
        <x:f>C968*F968</x:f>
        <x:v>25.549999999999997</x:v>
      </x:c>
    </x:row>
    <x:row r="969" ht="15" hidden="0" customHeight="1">
      <x:c r="A969" s="34" t="str">
        <x:v>STU0088</x:v>
      </x:c>
      <x:c r="B969" s="35" t="str">
        <x:v>CSE3CAP - Assignment: Sprint Project management reports</x:v>
      </x:c>
      <x:c r="C969" s="35" t="n">
        <x:v>70</x:v>
      </x:c>
      <x:c r="D969" s="36" t="str">
        <x:v>This sound result shows a competent and generally reliable grasp of the relevant learning themes, particularly advanced project management during substantive development implementation and industry standard technical solutions in software or cybersecurity practice. To strengthen the result, the student should provide clearer reasoning, improve technical precision and show more complete testing or reflection.</x:v>
      </x:c>
      <x:c r="E969" s="36" t="str">
        <x:v>SILO1: advanced project management during substantive development implementation; SILO2: industry standard technical solutions in software or cybersecurity practice</x:v>
      </x:c>
      <x:c r="F969" s="35" t="n">
        <x:v>0.35</x:v>
      </x:c>
      <x:c r="G969" s="37" t="n">
        <x:f>C969*F969</x:f>
        <x:v>24.5</x:v>
      </x:c>
    </x:row>
    <x:row r="970" ht="15" hidden="0" customHeight="1">
      <x:c r="A970" s="34" t="str">
        <x:v>STU0089</x:v>
      </x:c>
      <x:c r="B970" s="35" t="str">
        <x:v>CSE1OOF - Test</x:v>
      </x:c>
      <x:c r="C970" s="35" t="n">
        <x:v>68</x:v>
      </x:c>
      <x:c r="D970"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970" s="36" t="str">
        <x:v>SILO1: analysis/design/implementation compared with object-oriented modelling using objects that combine data structure and behaviour; SILO2: abstract data types and encapsulation to localise and minimise change</x:v>
      </x:c>
      <x:c r="F970" s="35" t="n">
        <x:v>0.15</x:v>
      </x:c>
      <x:c r="G970" s="37" t="n">
        <x:f>C970*F970</x:f>
        <x:v>10.2</x:v>
      </x:c>
    </x:row>
    <x:row r="971" ht="15" hidden="0" customHeight="1">
      <x:c r="A971" s="34" t="str">
        <x:v>STU0089</x:v>
      </x:c>
      <x:c r="B971" s="35" t="str">
        <x:v>CSE1OOF - Practical demonstration</x:v>
      </x:c>
      <x:c r="C971" s="35" t="n">
        <x:v>70</x:v>
      </x:c>
      <x:c r="D971"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971" s="36" t="str">
        <x:v>SILO2: abstract data types and encapsulation to localise and minimise change; SILO3: code sharing and reuse through object-oriented techniques to reduce development time; SILO4: object-oriented design and implementation of computer programs for real-life problems</x:v>
      </x:c>
      <x:c r="F971" s="35" t="n">
        <x:v>0.2</x:v>
      </x:c>
      <x:c r="G971" s="37" t="n">
        <x:f>C971*F971</x:f>
        <x:v>14</x:v>
      </x:c>
    </x:row>
    <x:row r="972" ht="15" hidden="0" customHeight="1">
      <x:c r="A972" s="34" t="str">
        <x:v>STU0089</x:v>
      </x:c>
      <x:c r="B972" s="35" t="str">
        <x:v>CSE1OOF - Assignment</x:v>
      </x:c>
      <x:c r="C972" s="35" t="n">
        <x:v>68</x:v>
      </x:c>
      <x:c r="D972"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972" s="36" t="str">
        <x:v>SILO2: abstract data types and encapsulation to localise and minimise change; SILO3: code sharing and reuse through object-oriented techniques to reduce development time; SILO4: object-oriented design and implementation of computer programs for real-life problems</x:v>
      </x:c>
      <x:c r="F972" s="35" t="n">
        <x:v>0.25</x:v>
      </x:c>
      <x:c r="G972" s="37" t="n">
        <x:f>C972*F972</x:f>
        <x:v>17</x:v>
      </x:c>
    </x:row>
    <x:row r="973" ht="15" hidden="0" customHeight="1">
      <x:c r="A973" s="34" t="str">
        <x:v>STU0089</x:v>
      </x:c>
      <x:c r="B973" s="35" t="str">
        <x:v>CSE1OOF - Central examination</x:v>
      </x:c>
      <x:c r="C973" s="35" t="n">
        <x:v>67</x:v>
      </x:c>
      <x:c r="D973"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973"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973" s="35" t="n">
        <x:v>0.4</x:v>
      </x:c>
      <x:c r="G973" s="37" t="n">
        <x:f>C973*F973</x:f>
        <x:v>26.8</x:v>
      </x:c>
    </x:row>
    <x:row r="974" ht="15" hidden="0" customHeight="1">
      <x:c r="A974" s="34" t="str">
        <x:v>STU0089</x:v>
      </x:c>
      <x:c r="B974" s="35" t="str">
        <x:v>CSE2ALG - Test</x:v>
      </x:c>
      <x:c r="C974" s="35" t="n">
        <x:v>62</x:v>
      </x:c>
      <x:c r="D974"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974" s="36" t="str">
        <x:v>SILO1: overall objectives of Algorithms and Data Structures; SILO2: identifying data structures and searching and sorting algorithms in computing contexts; SILO3: implementing data structures and searching and sorting algorithms in Java</x:v>
      </x:c>
      <x:c r="F974" s="35" t="n">
        <x:v>0.2</x:v>
      </x:c>
      <x:c r="G974" s="37" t="n">
        <x:f>C974*F974</x:f>
        <x:v>12.4</x:v>
      </x:c>
    </x:row>
    <x:row r="975" ht="15" hidden="0" customHeight="1">
      <x:c r="A975" s="34" t="str">
        <x:v>STU0089</x:v>
      </x:c>
      <x:c r="B975" s="35" t="str">
        <x:v>CSE2ALG - Assignment</x:v>
      </x:c>
      <x:c r="C975" s="35" t="n">
        <x:v>62</x:v>
      </x:c>
      <x:c r="D975"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975"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975" s="35" t="n">
        <x:v>0.3</x:v>
      </x:c>
      <x:c r="G975" s="37" t="n">
        <x:f>C975*F975</x:f>
        <x:v>18.599999999999998</x:v>
      </x:c>
    </x:row>
    <x:row r="976" ht="15" hidden="0" customHeight="1">
      <x:c r="A976" s="34" t="str">
        <x:v>STU0089</x:v>
      </x:c>
      <x:c r="B976" s="35" t="str">
        <x:v>CSE2ALG - Central examination</x:v>
      </x:c>
      <x:c r="C976" s="35" t="n">
        <x:v>63</x:v>
      </x:c>
      <x:c r="D976" s="36" t="str">
        <x:v>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x:v>
      </x:c>
      <x:c r="E976"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976" s="35" t="n">
        <x:v>0.5</x:v>
      </x:c>
      <x:c r="G976" s="37" t="n">
        <x:f>C976*F976</x:f>
        <x:v>31.5</x:v>
      </x:c>
    </x:row>
    <x:row r="977" ht="15" hidden="0" customHeight="1">
      <x:c r="A977" s="34" t="str">
        <x:v>STU0089</x:v>
      </x:c>
      <x:c r="B977" s="35" t="str">
        <x:v>CSE3CAP - Oral presentation: Project Milestone Presentation</x:v>
      </x:c>
      <x:c r="C977" s="35" t="n">
        <x:v>69</x:v>
      </x:c>
      <x:c r="D977"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977" s="36" t="str">
        <x:v>SILO3: reporting project outcomes to technical and non-technical audiences and reflecting on feedback</x:v>
      </x:c>
      <x:c r="F977" s="35" t="n">
        <x:v>0.1</x:v>
      </x:c>
      <x:c r="G977" s="37" t="n">
        <x:f>C977*F977</x:f>
        <x:v>6.9</x:v>
      </x:c>
    </x:row>
    <x:row r="978" ht="15" hidden="0" customHeight="1">
      <x:c r="A978" s="34" t="str">
        <x:v>STU0089</x:v>
      </x:c>
      <x:c r="B978" s="35" t="str">
        <x:v>CSE3CAP - Oral presentation: Final Project Presentation</x:v>
      </x:c>
      <x:c r="C978" s="35" t="n">
        <x:v>68</x:v>
      </x:c>
      <x:c r="D978"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978" s="36" t="str">
        <x:v>SILO3: reporting project outcomes to technical and non-technical audiences and reflecting on feedback</x:v>
      </x:c>
      <x:c r="F978" s="35" t="n">
        <x:v>0.2</x:v>
      </x:c>
      <x:c r="G978" s="37" t="n">
        <x:f>C978*F978</x:f>
        <x:v>13.600000000000001</x:v>
      </x:c>
    </x:row>
    <x:row r="979" ht="15" hidden="0" customHeight="1">
      <x:c r="A979" s="34" t="str">
        <x:v>STU0089</x:v>
      </x:c>
      <x:c r="B979" s="35" t="str">
        <x:v>CSE3CAP - Assignment: Final written Project Report</x:v>
      </x:c>
      <x:c r="C979" s="35" t="n">
        <x:v>66</x:v>
      </x:c>
      <x:c r="D979" s="36" t="str">
        <x:v>This sound result shows a competent and generally reliable grasp of the relevant learning themes, particularly industry standard technical solutions in software or cybersecurity practice and professional system documentation and advanced technical reporting to industry standards. To strengthen the result, the student should provide clearer reasoning, improve technical precision and show more complete testing or reflection.</x:v>
      </x:c>
      <x:c r="E979" s="36" t="str">
        <x:v>SILO2: industry standard technical solutions in software or cybersecurity practice; SILO4: professional system documentation and advanced technical reporting to industry standards</x:v>
      </x:c>
      <x:c r="F979" s="35" t="n">
        <x:v>0.35</x:v>
      </x:c>
      <x:c r="G979" s="37" t="n">
        <x:f>C979*F979</x:f>
        <x:v>23.099999999999998</x:v>
      </x:c>
    </x:row>
    <x:row r="980" ht="15" hidden="0" customHeight="1">
      <x:c r="A980" s="34" t="str">
        <x:v>STU0089</x:v>
      </x:c>
      <x:c r="B980" s="35" t="str">
        <x:v>CSE3CAP - Assignment: Sprint Project management reports</x:v>
      </x:c>
      <x:c r="C980" s="35" t="n">
        <x:v>66</x:v>
      </x:c>
      <x:c r="D980" s="36" t="str">
        <x:v>This sound result shows a competent and generally reliable grasp of the relevant learning themes, particularly advanced project management during substantive development implementation and industry standard technical solutions in software or cybersecurity practice. To strengthen the result, the student should provide clearer reasoning, improve technical precision and show more complete testing or reflection.</x:v>
      </x:c>
      <x:c r="E980" s="36" t="str">
        <x:v>SILO1: advanced project management during substantive development implementation; SILO2: industry standard technical solutions in software or cybersecurity practice</x:v>
      </x:c>
      <x:c r="F980" s="35" t="n">
        <x:v>0.35</x:v>
      </x:c>
      <x:c r="G980" s="37" t="n">
        <x:f>C980*F980</x:f>
        <x:v>23.099999999999998</x:v>
      </x:c>
    </x:row>
    <x:row r="981" ht="15" hidden="0" customHeight="1">
      <x:c r="A981" s="34" t="str">
        <x:v>STU0090</x:v>
      </x:c>
      <x:c r="B981" s="35" t="str">
        <x:v>CSE1OOF - Test</x:v>
      </x:c>
      <x:c r="C981" s="35" t="n">
        <x:v>70</x:v>
      </x:c>
      <x:c r="D981"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981" s="36" t="str">
        <x:v>SILO1: analysis/design/implementation compared with object-oriented modelling using objects that combine data structure and behaviour; SILO2: abstract data types and encapsulation to localise and minimise change</x:v>
      </x:c>
      <x:c r="F981" s="35" t="n">
        <x:v>0.15</x:v>
      </x:c>
      <x:c r="G981" s="37" t="n">
        <x:f>C981*F981</x:f>
        <x:v>10.5</x:v>
      </x:c>
    </x:row>
    <x:row r="982" ht="15" hidden="0" customHeight="1">
      <x:c r="A982" s="34" t="str">
        <x:v>STU0090</x:v>
      </x:c>
      <x:c r="B982" s="35" t="str">
        <x:v>CSE1OOF - Practical demonstration</x:v>
      </x:c>
      <x:c r="C982" s="35" t="n">
        <x:v>64</x:v>
      </x:c>
      <x:c r="D982"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982" s="36" t="str">
        <x:v>SILO2: abstract data types and encapsulation to localise and minimise change; SILO3: code sharing and reuse through object-oriented techniques to reduce development time; SILO4: object-oriented design and implementation of computer programs for real-life problems</x:v>
      </x:c>
      <x:c r="F982" s="35" t="n">
        <x:v>0.2</x:v>
      </x:c>
      <x:c r="G982" s="37" t="n">
        <x:f>C982*F982</x:f>
        <x:v>12.8</x:v>
      </x:c>
    </x:row>
    <x:row r="983" ht="15" hidden="0" customHeight="1">
      <x:c r="A983" s="34" t="str">
        <x:v>STU0090</x:v>
      </x:c>
      <x:c r="B983" s="35" t="str">
        <x:v>CSE1OOF - Assignment</x:v>
      </x:c>
      <x:c r="C983" s="35" t="n">
        <x:v>67</x:v>
      </x:c>
      <x:c r="D983"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983" s="36" t="str">
        <x:v>SILO2: abstract data types and encapsulation to localise and minimise change; SILO3: code sharing and reuse through object-oriented techniques to reduce development time; SILO4: object-oriented design and implementation of computer programs for real-life problems</x:v>
      </x:c>
      <x:c r="F983" s="35" t="n">
        <x:v>0.25</x:v>
      </x:c>
      <x:c r="G983" s="37" t="n">
        <x:f>C983*F983</x:f>
        <x:v>16.75</x:v>
      </x:c>
    </x:row>
    <x:row r="984" ht="15" hidden="0" customHeight="1">
      <x:c r="A984" s="34" t="str">
        <x:v>STU0090</x:v>
      </x:c>
      <x:c r="B984" s="35" t="str">
        <x:v>CSE1OOF - Central examination</x:v>
      </x:c>
      <x:c r="C984" s="35" t="n">
        <x:v>68</x:v>
      </x:c>
      <x:c r="D984"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984"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984" s="35" t="n">
        <x:v>0.4</x:v>
      </x:c>
      <x:c r="G984" s="37" t="n">
        <x:f>C984*F984</x:f>
        <x:v>27.200000000000003</x:v>
      </x:c>
    </x:row>
    <x:row r="985" ht="15" hidden="0" customHeight="1">
      <x:c r="A985" s="34" t="str">
        <x:v>STU0090</x:v>
      </x:c>
      <x:c r="B985" s="35" t="str">
        <x:v>CSE2ALG - Test</x:v>
      </x:c>
      <x:c r="C985" s="35" t="n">
        <x:v>68</x:v>
      </x:c>
      <x:c r="D985"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985" s="36" t="str">
        <x:v>SILO1: overall objectives of Algorithms and Data Structures; SILO2: identifying data structures and searching and sorting algorithms in computing contexts; SILO3: implementing data structures and searching and sorting algorithms in Java</x:v>
      </x:c>
      <x:c r="F985" s="35" t="n">
        <x:v>0.2</x:v>
      </x:c>
      <x:c r="G985" s="37" t="n">
        <x:f>C985*F985</x:f>
        <x:v>13.600000000000001</x:v>
      </x:c>
    </x:row>
    <x:row r="986" ht="15" hidden="0" customHeight="1">
      <x:c r="A986" s="34" t="str">
        <x:v>STU0090</x:v>
      </x:c>
      <x:c r="B986" s="35" t="str">
        <x:v>CSE2ALG - Assignment</x:v>
      </x:c>
      <x:c r="C986" s="35" t="n">
        <x:v>72</x:v>
      </x:c>
      <x:c r="D986" s="36" t="str">
        <x:v>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x:v>
      </x:c>
      <x:c r="E986"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986" s="35" t="n">
        <x:v>0.3</x:v>
      </x:c>
      <x:c r="G986" s="37" t="n">
        <x:f>C986*F986</x:f>
        <x:v>21.599999999999998</x:v>
      </x:c>
    </x:row>
    <x:row r="987" ht="15" hidden="0" customHeight="1">
      <x:c r="A987" s="34" t="str">
        <x:v>STU0090</x:v>
      </x:c>
      <x:c r="B987" s="35" t="str">
        <x:v>CSE2ALG - Central examination</x:v>
      </x:c>
      <x:c r="C987" s="35" t="n">
        <x:v>72</x:v>
      </x:c>
      <x:c r="D987"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987"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987" s="35" t="n">
        <x:v>0.5</x:v>
      </x:c>
      <x:c r="G987" s="37" t="n">
        <x:f>C987*F987</x:f>
        <x:v>36</x:v>
      </x:c>
    </x:row>
    <x:row r="988" ht="15" hidden="0" customHeight="1">
      <x:c r="A988" s="34" t="str">
        <x:v>STU0090</x:v>
      </x:c>
      <x:c r="B988" s="35" t="str">
        <x:v>CSE3CAP - Oral presentation: Project Milestone Presentation</x:v>
      </x:c>
      <x:c r="C988" s="35" t="n">
        <x:v>67</x:v>
      </x:c>
      <x:c r="D988"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988" s="36" t="str">
        <x:v>SILO3: reporting project outcomes to technical and non-technical audiences and reflecting on feedback</x:v>
      </x:c>
      <x:c r="F988" s="35" t="n">
        <x:v>0.1</x:v>
      </x:c>
      <x:c r="G988" s="37" t="n">
        <x:f>C988*F988</x:f>
        <x:v>6.7</x:v>
      </x:c>
    </x:row>
    <x:row r="989" ht="15" hidden="0" customHeight="1">
      <x:c r="A989" s="34" t="str">
        <x:v>STU0090</x:v>
      </x:c>
      <x:c r="B989" s="35" t="str">
        <x:v>CSE3CAP - Oral presentation: Final Project Presentation</x:v>
      </x:c>
      <x:c r="C989" s="35" t="n">
        <x:v>65</x:v>
      </x:c>
      <x:c r="D989"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989" s="36" t="str">
        <x:v>SILO3: reporting project outcomes to technical and non-technical audiences and reflecting on feedback</x:v>
      </x:c>
      <x:c r="F989" s="35" t="n">
        <x:v>0.2</x:v>
      </x:c>
      <x:c r="G989" s="37" t="n">
        <x:f>C989*F989</x:f>
        <x:v>13</x:v>
      </x:c>
    </x:row>
    <x:row r="990" ht="15" hidden="0" customHeight="1">
      <x:c r="A990" s="34" t="str">
        <x:v>STU0090</x:v>
      </x:c>
      <x:c r="B990" s="35" t="str">
        <x:v>CSE3CAP - Assignment: Final written Project Report</x:v>
      </x:c>
      <x:c r="C990" s="35" t="n">
        <x:v>67</x:v>
      </x:c>
      <x:c r="D990" s="36" t="str">
        <x:v>This sound result shows a competent and generally reliable grasp of the relevant learning themes, particularly industry standard technical solutions in software or cybersecurity practice and professional system documentation and advanced technical reporting to industry standards. To strengthen the result, the student should provide clearer reasoning, improve technical precision and show more complete testing or reflection.</x:v>
      </x:c>
      <x:c r="E990" s="36" t="str">
        <x:v>SILO2: industry standard technical solutions in software or cybersecurity practice; SILO4: professional system documentation and advanced technical reporting to industry standards</x:v>
      </x:c>
      <x:c r="F990" s="35" t="n">
        <x:v>0.35</x:v>
      </x:c>
      <x:c r="G990" s="37" t="n">
        <x:f>C990*F990</x:f>
        <x:v>23.45</x:v>
      </x:c>
    </x:row>
    <x:row r="991" ht="15" hidden="0" customHeight="1">
      <x:c r="A991" s="34" t="str">
        <x:v>STU0090</x:v>
      </x:c>
      <x:c r="B991" s="35" t="str">
        <x:v>CSE3CAP - Assignment: Sprint Project management reports</x:v>
      </x:c>
      <x:c r="C991" s="35" t="n">
        <x:v>69</x:v>
      </x:c>
      <x:c r="D991" s="36" t="str">
        <x:v>This sound result shows a competent and generally reliable grasp of the relevant learning themes, particularly advanced project management during substantive development implementation and industry standard technical solutions in software or cybersecurity practice. To strengthen the result, the student should provide clearer reasoning, improve technical precision and show more complete testing or reflection.</x:v>
      </x:c>
      <x:c r="E991" s="36" t="str">
        <x:v>SILO1: advanced project management during substantive development implementation; SILO2: industry standard technical solutions in software or cybersecurity practice</x:v>
      </x:c>
      <x:c r="F991" s="35" t="n">
        <x:v>0.35</x:v>
      </x:c>
      <x:c r="G991" s="37" t="n">
        <x:f>C991*F991</x:f>
        <x:v>24.15</x:v>
      </x:c>
    </x:row>
    <x:row r="992" ht="15" hidden="0" customHeight="1">
      <x:c r="A992" s="34" t="str">
        <x:v>STU0091</x:v>
      </x:c>
      <x:c r="B992" s="35" t="str">
        <x:v>CSE1OOF - Test</x:v>
      </x:c>
      <x:c r="C992" s="35" t="n">
        <x:v>81</x:v>
      </x:c>
      <x:c r="D992" s="36" t="str">
        <x:v>This strong result shows well-developed understanding of the relevant learning themes, particularly analysis/design/implementation compared with object-oriented modelling using objects that combine data structure and behaviour and abstract data types and encapsulation to localise and minimise change. Further improvement would come from deeper justification, more consistent evaluation evidence and tighter links between decisions and implementation details.</x:v>
      </x:c>
      <x:c r="E992" s="36" t="str">
        <x:v>SILO1: analysis/design/implementation compared with object-oriented modelling using objects that combine data structure and behaviour; SILO2: abstract data types and encapsulation to localise and minimise change</x:v>
      </x:c>
      <x:c r="F992" s="35" t="n">
        <x:v>0.15</x:v>
      </x:c>
      <x:c r="G992" s="37" t="n">
        <x:f>C992*F992</x:f>
        <x:v>12.15</x:v>
      </x:c>
    </x:row>
    <x:row r="993" ht="15" hidden="0" customHeight="1">
      <x:c r="A993" s="34" t="str">
        <x:v>STU0091</x:v>
      </x:c>
      <x:c r="B993" s="35" t="str">
        <x:v>CSE1OOF - Practical demonstration</x:v>
      </x:c>
      <x:c r="C993" s="35" t="n">
        <x:v>78</x:v>
      </x:c>
      <x:c r="D993"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993" s="36" t="str">
        <x:v>SILO2: abstract data types and encapsulation to localise and minimise change; SILO3: code sharing and reuse through object-oriented techniques to reduce development time; SILO4: object-oriented design and implementation of computer programs for real-life problems</x:v>
      </x:c>
      <x:c r="F993" s="35" t="n">
        <x:v>0.2</x:v>
      </x:c>
      <x:c r="G993" s="37" t="n">
        <x:f>C993*F993</x:f>
        <x:v>15.600000000000001</x:v>
      </x:c>
    </x:row>
    <x:row r="994" ht="15" hidden="0" customHeight="1">
      <x:c r="A994" s="34" t="str">
        <x:v>STU0091</x:v>
      </x:c>
      <x:c r="B994" s="35" t="str">
        <x:v>CSE1OOF - Assignment</x:v>
      </x:c>
      <x:c r="C994" s="35" t="n">
        <x:v>76</x:v>
      </x:c>
      <x:c r="D994"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994" s="36" t="str">
        <x:v>SILO2: abstract data types and encapsulation to localise and minimise change; SILO3: code sharing and reuse through object-oriented techniques to reduce development time; SILO4: object-oriented design and implementation of computer programs for real-life problems</x:v>
      </x:c>
      <x:c r="F994" s="35" t="n">
        <x:v>0.25</x:v>
      </x:c>
      <x:c r="G994" s="37" t="n">
        <x:f>C994*F994</x:f>
        <x:v>19</x:v>
      </x:c>
    </x:row>
    <x:row r="995" ht="15" hidden="0" customHeight="1">
      <x:c r="A995" s="34" t="str">
        <x:v>STU0091</x:v>
      </x:c>
      <x:c r="B995" s="35" t="str">
        <x:v>CSE1OOF - Central examination</x:v>
      </x:c>
      <x:c r="C995" s="35" t="n">
        <x:v>79</x:v>
      </x:c>
      <x:c r="D995" s="36" t="str">
        <x:v>This strong result shows well-developed understanding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Further improvement would come from deeper justification, more consistent evaluation evidence and tighter links between decisions and implementation details.</x:v>
      </x:c>
      <x:c r="E995"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995" s="35" t="n">
        <x:v>0.4</x:v>
      </x:c>
      <x:c r="G995" s="37" t="n">
        <x:f>C995*F995</x:f>
        <x:v>31.6</x:v>
      </x:c>
    </x:row>
    <x:row r="996" ht="15" hidden="0" customHeight="1">
      <x:c r="A996" s="34" t="str">
        <x:v>STU0091</x:v>
      </x:c>
      <x:c r="B996" s="35" t="str">
        <x:v>CSE2ALG - Test</x:v>
      </x:c>
      <x:c r="C996" s="35" t="n">
        <x:v>80</x:v>
      </x:c>
      <x:c r="D996" s="36" t="str">
        <x:v>This strong result shows well-developed understanding of the relevant learning themes, particularly overall objectives of Algorithms and Data Structures, identifying data structures and searching and sorting algorithms in computing contexts, and implementing data structures and searching and sorting algorithms in Java. Further improvement would come from deeper justification, more consistent evaluation evidence and tighter links between decisions and implementation details.</x:v>
      </x:c>
      <x:c r="E996" s="36" t="str">
        <x:v>SILO1: overall objectives of Algorithms and Data Structures; SILO2: identifying data structures and searching and sorting algorithms in computing contexts; SILO3: implementing data structures and searching and sorting algorithms in Java</x:v>
      </x:c>
      <x:c r="F996" s="35" t="n">
        <x:v>0.2</x:v>
      </x:c>
      <x:c r="G996" s="37" t="n">
        <x:f>C996*F996</x:f>
        <x:v>16</x:v>
      </x:c>
    </x:row>
    <x:row r="997" ht="15" hidden="0" customHeight="1">
      <x:c r="A997" s="34" t="str">
        <x:v>STU0091</x:v>
      </x:c>
      <x:c r="B997" s="35" t="str">
        <x:v>CSE2ALG - Assignment</x:v>
      </x:c>
      <x:c r="C997" s="35" t="n">
        <x:v>82</x:v>
      </x:c>
      <x:c r="D997" s="36" t="str">
        <x:v>This strong result shows well-developed understanding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Further improvement would come from deeper justification, more consistent evaluation evidence and tighter links between decisions and implementation details.</x:v>
      </x:c>
      <x:c r="E997"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997" s="35" t="n">
        <x:v>0.3</x:v>
      </x:c>
      <x:c r="G997" s="37" t="n">
        <x:f>C997*F997</x:f>
        <x:v>24.599999999999998</x:v>
      </x:c>
    </x:row>
    <x:row r="998" ht="15" hidden="0" customHeight="1">
      <x:c r="A998" s="34" t="str">
        <x:v>STU0091</x:v>
      </x:c>
      <x:c r="B998" s="35" t="str">
        <x:v>CSE2ALG - Central examination</x:v>
      </x:c>
      <x:c r="C998" s="35" t="n">
        <x:v>81</x:v>
      </x:c>
      <x:c r="D998" s="36" t="str">
        <x:v>This strong result shows well-developed understanding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Further improvement would come from deeper justification, more consistent evaluation evidence and tighter links between decisions and implementation details.</x:v>
      </x:c>
      <x:c r="E998"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998" s="35" t="n">
        <x:v>0.5</x:v>
      </x:c>
      <x:c r="G998" s="37" t="n">
        <x:f>C998*F998</x:f>
        <x:v>40.5</x:v>
      </x:c>
    </x:row>
    <x:row r="999" ht="15" hidden="0" customHeight="1">
      <x:c r="A999" s="34" t="str">
        <x:v>STU0091</x:v>
      </x:c>
      <x:c r="B999" s="35" t="str">
        <x:v>CSE3CAP - Oral presentation: Project Milestone Presentation</x:v>
      </x:c>
      <x:c r="C999" s="35" t="n">
        <x:v>78</x:v>
      </x:c>
      <x:c r="D999"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999" s="36" t="str">
        <x:v>SILO3: reporting project outcomes to technical and non-technical audiences and reflecting on feedback</x:v>
      </x:c>
      <x:c r="F999" s="35" t="n">
        <x:v>0.1</x:v>
      </x:c>
      <x:c r="G999" s="37" t="n">
        <x:f>C999*F999</x:f>
        <x:v>7.800000000000001</x:v>
      </x:c>
    </x:row>
    <x:row r="1000" ht="15" hidden="0" customHeight="1">
      <x:c r="A1000" s="34" t="str">
        <x:v>STU0091</x:v>
      </x:c>
      <x:c r="B1000" s="35" t="str">
        <x:v>CSE3CAP - Oral presentation: Final Project Presentation</x:v>
      </x:c>
      <x:c r="C1000" s="35" t="n">
        <x:v>80</x:v>
      </x:c>
      <x:c r="D1000"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1000" s="36" t="str">
        <x:v>SILO3: reporting project outcomes to technical and non-technical audiences and reflecting on feedback</x:v>
      </x:c>
      <x:c r="F1000" s="35" t="n">
        <x:v>0.2</x:v>
      </x:c>
      <x:c r="G1000" s="37" t="n">
        <x:f>C1000*F1000</x:f>
        <x:v>16</x:v>
      </x:c>
    </x:row>
    <x:row r="1001" ht="15" hidden="0" customHeight="1">
      <x:c r="A1001" s="34" t="str">
        <x:v>STU0091</x:v>
      </x:c>
      <x:c r="B1001" s="35" t="str">
        <x:v>CSE3CAP - Assignment: Final written Project Report</x:v>
      </x:c>
      <x:c r="C1001" s="35" t="n">
        <x:v>80</x:v>
      </x:c>
      <x:c r="D1001" s="36" t="str">
        <x:v>This strong result shows well-developed understanding of the relevant learning themes, particularly industry standard technical solutions in software or cybersecurity practice and professional system documentation and advanced technical reporting to industry standards. Further improvement would come from deeper justification, more consistent evaluation evidence and tighter links between decisions and implementation details.</x:v>
      </x:c>
      <x:c r="E1001" s="36" t="str">
        <x:v>SILO2: industry standard technical solutions in software or cybersecurity practice; SILO4: professional system documentation and advanced technical reporting to industry standards</x:v>
      </x:c>
      <x:c r="F1001" s="35" t="n">
        <x:v>0.35</x:v>
      </x:c>
      <x:c r="G1001" s="37" t="n">
        <x:f>C1001*F1001</x:f>
        <x:v>28</x:v>
      </x:c>
    </x:row>
    <x:row r="1002" ht="15" hidden="0" customHeight="1">
      <x:c r="A1002" s="34" t="str">
        <x:v>STU0091</x:v>
      </x:c>
      <x:c r="B1002" s="35" t="str">
        <x:v>CSE3CAP - Assignment: Sprint Project management reports</x:v>
      </x:c>
      <x:c r="C1002" s="35" t="n">
        <x:v>83</x:v>
      </x:c>
      <x:c r="D1002" s="36" t="str">
        <x:v>This strong result shows well-developed understanding of the relevant learning themes, particularly advanced project management during substantive development implementation and industry standard technical solutions in software or cybersecurity practice. Further improvement would come from deeper justification, more consistent evaluation evidence and tighter links between decisions and implementation details.</x:v>
      </x:c>
      <x:c r="E1002" s="36" t="str">
        <x:v>SILO1: advanced project management during substantive development implementation; SILO2: industry standard technical solutions in software or cybersecurity practice</x:v>
      </x:c>
      <x:c r="F1002" s="35" t="n">
        <x:v>0.35</x:v>
      </x:c>
      <x:c r="G1002" s="37" t="n">
        <x:f>C1002*F1002</x:f>
        <x:v>29.049999999999997</x:v>
      </x:c>
    </x:row>
    <x:row r="1003" ht="15" hidden="0" customHeight="1">
      <x:c r="A1003" s="34" t="str">
        <x:v>STU0092</x:v>
      </x:c>
      <x:c r="B1003" s="35" t="str">
        <x:v>CSE1OOF - Test</x:v>
      </x:c>
      <x:c r="C1003" s="35" t="n">
        <x:v>61</x:v>
      </x:c>
      <x:c r="D1003"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1003" s="36" t="str">
        <x:v>SILO1: analysis/design/implementation compared with object-oriented modelling using objects that combine data structure and behaviour; SILO2: abstract data types and encapsulation to localise and minimise change</x:v>
      </x:c>
      <x:c r="F1003" s="35" t="n">
        <x:v>0.15</x:v>
      </x:c>
      <x:c r="G1003" s="37" t="n">
        <x:f>C1003*F1003</x:f>
        <x:v>9.15</x:v>
      </x:c>
    </x:row>
    <x:row r="1004" ht="15" hidden="0" customHeight="1">
      <x:c r="A1004" s="34" t="str">
        <x:v>STU0092</x:v>
      </x:c>
      <x:c r="B1004" s="35" t="str">
        <x:v>CSE1OOF - Practical demonstration</x:v>
      </x:c>
      <x:c r="C1004" s="35" t="n">
        <x:v>62</x:v>
      </x:c>
      <x:c r="D1004"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004" s="36" t="str">
        <x:v>SILO2: abstract data types and encapsulation to localise and minimise change; SILO3: code sharing and reuse through object-oriented techniques to reduce development time; SILO4: object-oriented design and implementation of computer programs for real-life problems</x:v>
      </x:c>
      <x:c r="F1004" s="35" t="n">
        <x:v>0.2</x:v>
      </x:c>
      <x:c r="G1004" s="37" t="n">
        <x:f>C1004*F1004</x:f>
        <x:v>12.4</x:v>
      </x:c>
    </x:row>
    <x:row r="1005" ht="15" hidden="0" customHeight="1">
      <x:c r="A1005" s="34" t="str">
        <x:v>STU0092</x:v>
      </x:c>
      <x:c r="B1005" s="35" t="str">
        <x:v>CSE1OOF - Assignment</x:v>
      </x:c>
      <x:c r="C1005" s="35" t="n">
        <x:v>65</x:v>
      </x:c>
      <x:c r="D1005"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005" s="36" t="str">
        <x:v>SILO2: abstract data types and encapsulation to localise and minimise change; SILO3: code sharing and reuse through object-oriented techniques to reduce development time; SILO4: object-oriented design and implementation of computer programs for real-life problems</x:v>
      </x:c>
      <x:c r="F1005" s="35" t="n">
        <x:v>0.25</x:v>
      </x:c>
      <x:c r="G1005" s="37" t="n">
        <x:f>C1005*F1005</x:f>
        <x:v>16.25</x:v>
      </x:c>
    </x:row>
    <x:row r="1006" ht="15" hidden="0" customHeight="1">
      <x:c r="A1006" s="34" t="str">
        <x:v>STU0092</x:v>
      </x:c>
      <x:c r="B1006" s="35" t="str">
        <x:v>CSE1OOF - Central examination</x:v>
      </x:c>
      <x:c r="C1006" s="35" t="n">
        <x:v>62</x:v>
      </x:c>
      <x:c r="D1006" s="36" t="str">
        <x:v>This developing result meets the core requirements but needs greater consistency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Future work should focus on consolidating the underlying concepts, applying them more consistently and explaining design or implementation decisions with stronger evidence.</x:v>
      </x:c>
      <x:c r="E1006"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006" s="35" t="n">
        <x:v>0.4</x:v>
      </x:c>
      <x:c r="G1006" s="37" t="n">
        <x:f>C1006*F1006</x:f>
        <x:v>24.8</x:v>
      </x:c>
    </x:row>
    <x:row r="1007" ht="15" hidden="0" customHeight="1">
      <x:c r="A1007" s="34" t="str">
        <x:v>STU0092</x:v>
      </x:c>
      <x:c r="B1007" s="35" t="str">
        <x:v>CSE2ALG - Test</x:v>
      </x:c>
      <x:c r="C1007" s="35" t="n">
        <x:v>61</x:v>
      </x:c>
      <x:c r="D1007"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1007" s="36" t="str">
        <x:v>SILO1: overall objectives of Algorithms and Data Structures; SILO2: identifying data structures and searching and sorting algorithms in computing contexts; SILO3: implementing data structures and searching and sorting algorithms in Java</x:v>
      </x:c>
      <x:c r="F1007" s="35" t="n">
        <x:v>0.2</x:v>
      </x:c>
      <x:c r="G1007" s="37" t="n">
        <x:f>C1007*F1007</x:f>
        <x:v>12.200000000000001</x:v>
      </x:c>
    </x:row>
    <x:row r="1008" ht="15" hidden="0" customHeight="1">
      <x:c r="A1008" s="34" t="str">
        <x:v>STU0092</x:v>
      </x:c>
      <x:c r="B1008" s="35" t="str">
        <x:v>CSE2ALG - Assignment</x:v>
      </x:c>
      <x:c r="C1008" s="35" t="n">
        <x:v>63</x:v>
      </x:c>
      <x:c r="D1008"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1008"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008" s="35" t="n">
        <x:v>0.3</x:v>
      </x:c>
      <x:c r="G1008" s="37" t="n">
        <x:f>C1008*F1008</x:f>
        <x:v>18.9</x:v>
      </x:c>
    </x:row>
    <x:row r="1009" ht="15" hidden="0" customHeight="1">
      <x:c r="A1009" s="34" t="str">
        <x:v>STU0092</x:v>
      </x:c>
      <x:c r="B1009" s="35" t="str">
        <x:v>CSE2ALG - Central examination</x:v>
      </x:c>
      <x:c r="C1009" s="35" t="n">
        <x:v>60</x:v>
      </x:c>
      <x:c r="D1009" s="36" t="str">
        <x:v>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x:v>
      </x:c>
      <x:c r="E1009"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009" s="35" t="n">
        <x:v>0.5</x:v>
      </x:c>
      <x:c r="G1009" s="37" t="n">
        <x:f>C1009*F1009</x:f>
        <x:v>30</x:v>
      </x:c>
    </x:row>
    <x:row r="1010" ht="15" hidden="0" customHeight="1">
      <x:c r="A1010" s="34" t="str">
        <x:v>STU0092</x:v>
      </x:c>
      <x:c r="B1010" s="35" t="str">
        <x:v>CSE3CAP - Oral presentation: Project Milestone Presentation</x:v>
      </x:c>
      <x:c r="C1010" s="35" t="n">
        <x:v>62</x:v>
      </x:c>
      <x:c r="D1010"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010" s="36" t="str">
        <x:v>SILO3: reporting project outcomes to technical and non-technical audiences and reflecting on feedback</x:v>
      </x:c>
      <x:c r="F1010" s="35" t="n">
        <x:v>0.1</x:v>
      </x:c>
      <x:c r="G1010" s="37" t="n">
        <x:f>C1010*F1010</x:f>
        <x:v>6.2</x:v>
      </x:c>
    </x:row>
    <x:row r="1011" ht="15" hidden="0" customHeight="1">
      <x:c r="A1011" s="34" t="str">
        <x:v>STU0092</x:v>
      </x:c>
      <x:c r="B1011" s="35" t="str">
        <x:v>CSE3CAP - Oral presentation: Final Project Presentation</x:v>
      </x:c>
      <x:c r="C1011" s="35" t="n">
        <x:v>65</x:v>
      </x:c>
      <x:c r="D1011"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1011" s="36" t="str">
        <x:v>SILO3: reporting project outcomes to technical and non-technical audiences and reflecting on feedback</x:v>
      </x:c>
      <x:c r="F1011" s="35" t="n">
        <x:v>0.2</x:v>
      </x:c>
      <x:c r="G1011" s="37" t="n">
        <x:f>C1011*F1011</x:f>
        <x:v>13</x:v>
      </x:c>
    </x:row>
    <x:row r="1012" ht="15" hidden="0" customHeight="1">
      <x:c r="A1012" s="34" t="str">
        <x:v>STU0092</x:v>
      </x:c>
      <x:c r="B1012" s="35" t="str">
        <x:v>CSE3CAP - Assignment: Final written Project Report</x:v>
      </x:c>
      <x:c r="C1012" s="35" t="n">
        <x:v>64</x:v>
      </x:c>
      <x:c r="D1012"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1012" s="36" t="str">
        <x:v>SILO2: industry standard technical solutions in software or cybersecurity practice; SILO4: professional system documentation and advanced technical reporting to industry standards</x:v>
      </x:c>
      <x:c r="F1012" s="35" t="n">
        <x:v>0.35</x:v>
      </x:c>
      <x:c r="G1012" s="37" t="n">
        <x:f>C1012*F1012</x:f>
        <x:v>22.4</x:v>
      </x:c>
    </x:row>
    <x:row r="1013" ht="15" hidden="0" customHeight="1">
      <x:c r="A1013" s="34" t="str">
        <x:v>STU0092</x:v>
      </x:c>
      <x:c r="B1013" s="35" t="str">
        <x:v>CSE3CAP - Assignment: Sprint Project management reports</x:v>
      </x:c>
      <x:c r="C1013" s="35" t="n">
        <x:v>59</x:v>
      </x:c>
      <x:c r="D1013"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1013" s="36" t="str">
        <x:v>SILO1: advanced project management during substantive development implementation; SILO2: industry standard technical solutions in software or cybersecurity practice</x:v>
      </x:c>
      <x:c r="F1013" s="35" t="n">
        <x:v>0.35</x:v>
      </x:c>
      <x:c r="G1013" s="37" t="n">
        <x:f>C1013*F1013</x:f>
        <x:v>20.65</x:v>
      </x:c>
    </x:row>
    <x:row r="1014" ht="15" hidden="0" customHeight="1">
      <x:c r="A1014" s="34" t="str">
        <x:v>STU0093</x:v>
      </x:c>
      <x:c r="B1014" s="35" t="str">
        <x:v>CSE1OOF - Test</x:v>
      </x:c>
      <x:c r="C1014" s="35" t="n">
        <x:v>61</x:v>
      </x:c>
      <x:c r="D1014"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1014" s="36" t="str">
        <x:v>SILO1: analysis/design/implementation compared with object-oriented modelling using objects that combine data structure and behaviour; SILO2: abstract data types and encapsulation to localise and minimise change</x:v>
      </x:c>
      <x:c r="F1014" s="35" t="n">
        <x:v>0.15</x:v>
      </x:c>
      <x:c r="G1014" s="37" t="n">
        <x:f>C1014*F1014</x:f>
        <x:v>9.15</x:v>
      </x:c>
    </x:row>
    <x:row r="1015" ht="15" hidden="0" customHeight="1">
      <x:c r="A1015" s="34" t="str">
        <x:v>STU0093</x:v>
      </x:c>
      <x:c r="B1015" s="35" t="str">
        <x:v>CSE1OOF - Practical demonstration</x:v>
      </x:c>
      <x:c r="C1015" s="35" t="n">
        <x:v>67</x:v>
      </x:c>
      <x:c r="D1015"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015" s="36" t="str">
        <x:v>SILO2: abstract data types and encapsulation to localise and minimise change; SILO3: code sharing and reuse through object-oriented techniques to reduce development time; SILO4: object-oriented design and implementation of computer programs for real-life problems</x:v>
      </x:c>
      <x:c r="F1015" s="35" t="n">
        <x:v>0.2</x:v>
      </x:c>
      <x:c r="G1015" s="37" t="n">
        <x:f>C1015*F1015</x:f>
        <x:v>13.4</x:v>
      </x:c>
    </x:row>
    <x:row r="1016" ht="15" hidden="0" customHeight="1">
      <x:c r="A1016" s="34" t="str">
        <x:v>STU0093</x:v>
      </x:c>
      <x:c r="B1016" s="35" t="str">
        <x:v>CSE1OOF - Assignment</x:v>
      </x:c>
      <x:c r="C1016" s="35" t="n">
        <x:v>61</x:v>
      </x:c>
      <x:c r="D1016"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016" s="36" t="str">
        <x:v>SILO2: abstract data types and encapsulation to localise and minimise change; SILO3: code sharing and reuse through object-oriented techniques to reduce development time; SILO4: object-oriented design and implementation of computer programs for real-life problems</x:v>
      </x:c>
      <x:c r="F1016" s="35" t="n">
        <x:v>0.25</x:v>
      </x:c>
      <x:c r="G1016" s="37" t="n">
        <x:f>C1016*F1016</x:f>
        <x:v>15.25</x:v>
      </x:c>
    </x:row>
    <x:row r="1017" ht="15" hidden="0" customHeight="1">
      <x:c r="A1017" s="34" t="str">
        <x:v>STU0093</x:v>
      </x:c>
      <x:c r="B1017" s="35" t="str">
        <x:v>CSE1OOF - Central examination</x:v>
      </x:c>
      <x:c r="C1017" s="35" t="n">
        <x:v>65</x:v>
      </x:c>
      <x:c r="D1017"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1017"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017" s="35" t="n">
        <x:v>0.4</x:v>
      </x:c>
      <x:c r="G1017" s="37" t="n">
        <x:f>C1017*F1017</x:f>
        <x:v>26</x:v>
      </x:c>
    </x:row>
    <x:row r="1018" ht="15" hidden="0" customHeight="1">
      <x:c r="A1018" s="34" t="str">
        <x:v>STU0093</x:v>
      </x:c>
      <x:c r="B1018" s="35" t="str">
        <x:v>CSE2ALG - Test</x:v>
      </x:c>
      <x:c r="C1018" s="35" t="n">
        <x:v>60</x:v>
      </x:c>
      <x:c r="D1018"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1018" s="36" t="str">
        <x:v>SILO1: overall objectives of Algorithms and Data Structures; SILO2: identifying data structures and searching and sorting algorithms in computing contexts; SILO3: implementing data structures and searching and sorting algorithms in Java</x:v>
      </x:c>
      <x:c r="F1018" s="35" t="n">
        <x:v>0.2</x:v>
      </x:c>
      <x:c r="G1018" s="37" t="n">
        <x:f>C1018*F1018</x:f>
        <x:v>12</x:v>
      </x:c>
    </x:row>
    <x:row r="1019" ht="15" hidden="0" customHeight="1">
      <x:c r="A1019" s="34" t="str">
        <x:v>STU0093</x:v>
      </x:c>
      <x:c r="B1019" s="35" t="str">
        <x:v>CSE2ALG - Assignment</x:v>
      </x:c>
      <x:c r="C1019" s="35" t="n">
        <x:v>66</x:v>
      </x:c>
      <x:c r="D1019" s="36" t="str">
        <x:v>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x:v>
      </x:c>
      <x:c r="E1019"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019" s="35" t="n">
        <x:v>0.3</x:v>
      </x:c>
      <x:c r="G1019" s="37" t="n">
        <x:f>C1019*F1019</x:f>
        <x:v>19.8</x:v>
      </x:c>
    </x:row>
    <x:row r="1020" ht="15" hidden="0" customHeight="1">
      <x:c r="A1020" s="34" t="str">
        <x:v>STU0093</x:v>
      </x:c>
      <x:c r="B1020" s="35" t="str">
        <x:v>CSE2ALG - Central examination</x:v>
      </x:c>
      <x:c r="C1020" s="35" t="n">
        <x:v>65</x:v>
      </x:c>
      <x:c r="D1020"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1020"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020" s="35" t="n">
        <x:v>0.5</x:v>
      </x:c>
      <x:c r="G1020" s="37" t="n">
        <x:f>C1020*F1020</x:f>
        <x:v>32.5</x:v>
      </x:c>
    </x:row>
    <x:row r="1021" ht="15" hidden="0" customHeight="1">
      <x:c r="A1021" s="34" t="str">
        <x:v>STU0093</x:v>
      </x:c>
      <x:c r="B1021" s="35" t="str">
        <x:v>CSE3CAP - Oral presentation: Project Milestone Presentation</x:v>
      </x:c>
      <x:c r="C1021" s="35" t="n">
        <x:v>65</x:v>
      </x:c>
      <x:c r="D1021"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1021" s="36" t="str">
        <x:v>SILO3: reporting project outcomes to technical and non-technical audiences and reflecting on feedback</x:v>
      </x:c>
      <x:c r="F1021" s="35" t="n">
        <x:v>0.1</x:v>
      </x:c>
      <x:c r="G1021" s="37" t="n">
        <x:f>C1021*F1021</x:f>
        <x:v>6.5</x:v>
      </x:c>
    </x:row>
    <x:row r="1022" ht="15" hidden="0" customHeight="1">
      <x:c r="A1022" s="34" t="str">
        <x:v>STU0093</x:v>
      </x:c>
      <x:c r="B1022" s="35" t="str">
        <x:v>CSE3CAP - Oral presentation: Final Project Presentation</x:v>
      </x:c>
      <x:c r="C1022" s="35" t="n">
        <x:v>67</x:v>
      </x:c>
      <x:c r="D1022"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1022" s="36" t="str">
        <x:v>SILO3: reporting project outcomes to technical and non-technical audiences and reflecting on feedback</x:v>
      </x:c>
      <x:c r="F1022" s="35" t="n">
        <x:v>0.2</x:v>
      </x:c>
      <x:c r="G1022" s="37" t="n">
        <x:f>C1022*F1022</x:f>
        <x:v>13.4</x:v>
      </x:c>
    </x:row>
    <x:row r="1023" ht="15" hidden="0" customHeight="1">
      <x:c r="A1023" s="34" t="str">
        <x:v>STU0093</x:v>
      </x:c>
      <x:c r="B1023" s="35" t="str">
        <x:v>CSE3CAP - Assignment: Final written Project Report</x:v>
      </x:c>
      <x:c r="C1023" s="35" t="n">
        <x:v>64</x:v>
      </x:c>
      <x:c r="D1023"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1023" s="36" t="str">
        <x:v>SILO2: industry standard technical solutions in software or cybersecurity practice; SILO4: professional system documentation and advanced technical reporting to industry standards</x:v>
      </x:c>
      <x:c r="F1023" s="35" t="n">
        <x:v>0.35</x:v>
      </x:c>
      <x:c r="G1023" s="37" t="n">
        <x:f>C1023*F1023</x:f>
        <x:v>22.4</x:v>
      </x:c>
    </x:row>
    <x:row r="1024" ht="15" hidden="0" customHeight="1">
      <x:c r="A1024" s="34" t="str">
        <x:v>STU0093</x:v>
      </x:c>
      <x:c r="B1024" s="35" t="str">
        <x:v>CSE3CAP - Assignment: Sprint Project management reports</x:v>
      </x:c>
      <x:c r="C1024" s="35" t="n">
        <x:v>67</x:v>
      </x:c>
      <x:c r="D1024" s="36" t="str">
        <x:v>This sound result shows a competent and generally reliable grasp of the relevant learning themes, particularly advanced project management during substantive development implementation and industry standard technical solutions in software or cybersecurity practice. To strengthen the result, the student should provide clearer reasoning, improve technical precision and show more complete testing or reflection.</x:v>
      </x:c>
      <x:c r="E1024" s="36" t="str">
        <x:v>SILO1: advanced project management during substantive development implementation; SILO2: industry standard technical solutions in software or cybersecurity practice</x:v>
      </x:c>
      <x:c r="F1024" s="35" t="n">
        <x:v>0.35</x:v>
      </x:c>
      <x:c r="G1024" s="37" t="n">
        <x:f>C1024*F1024</x:f>
        <x:v>23.45</x:v>
      </x:c>
    </x:row>
    <x:row r="1025" ht="15" hidden="0" customHeight="1">
      <x:c r="A1025" s="34" t="str">
        <x:v>STU0094</x:v>
      </x:c>
      <x:c r="B1025" s="35" t="str">
        <x:v>CSE1OOF - Test</x:v>
      </x:c>
      <x:c r="C1025" s="35" t="n">
        <x:v>62</x:v>
      </x:c>
      <x:c r="D1025"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1025" s="36" t="str">
        <x:v>SILO1: analysis/design/implementation compared with object-oriented modelling using objects that combine data structure and behaviour; SILO2: abstract data types and encapsulation to localise and minimise change</x:v>
      </x:c>
      <x:c r="F1025" s="35" t="n">
        <x:v>0.15</x:v>
      </x:c>
      <x:c r="G1025" s="37" t="n">
        <x:f>C1025*F1025</x:f>
        <x:v>9.299999999999999</x:v>
      </x:c>
    </x:row>
    <x:row r="1026" ht="15" hidden="0" customHeight="1">
      <x:c r="A1026" s="34" t="str">
        <x:v>STU0094</x:v>
      </x:c>
      <x:c r="B1026" s="35" t="str">
        <x:v>CSE1OOF - Practical demonstration</x:v>
      </x:c>
      <x:c r="C1026" s="35" t="n">
        <x:v>64</x:v>
      </x:c>
      <x:c r="D1026"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026" s="36" t="str">
        <x:v>SILO2: abstract data types and encapsulation to localise and minimise change; SILO3: code sharing and reuse through object-oriented techniques to reduce development time; SILO4: object-oriented design and implementation of computer programs for real-life problems</x:v>
      </x:c>
      <x:c r="F1026" s="35" t="n">
        <x:v>0.2</x:v>
      </x:c>
      <x:c r="G1026" s="37" t="n">
        <x:f>C1026*F1026</x:f>
        <x:v>12.8</x:v>
      </x:c>
    </x:row>
    <x:row r="1027" ht="15" hidden="0" customHeight="1">
      <x:c r="A1027" s="34" t="str">
        <x:v>STU0094</x:v>
      </x:c>
      <x:c r="B1027" s="35" t="str">
        <x:v>CSE1OOF - Assignment</x:v>
      </x:c>
      <x:c r="C1027" s="35" t="n">
        <x:v>66</x:v>
      </x:c>
      <x:c r="D1027"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027" s="36" t="str">
        <x:v>SILO2: abstract data types and encapsulation to localise and minimise change; SILO3: code sharing and reuse through object-oriented techniques to reduce development time; SILO4: object-oriented design and implementation of computer programs for real-life problems</x:v>
      </x:c>
      <x:c r="F1027" s="35" t="n">
        <x:v>0.25</x:v>
      </x:c>
      <x:c r="G1027" s="37" t="n">
        <x:f>C1027*F1027</x:f>
        <x:v>16.5</x:v>
      </x:c>
    </x:row>
    <x:row r="1028" ht="15" hidden="0" customHeight="1">
      <x:c r="A1028" s="34" t="str">
        <x:v>STU0094</x:v>
      </x:c>
      <x:c r="B1028" s="35" t="str">
        <x:v>CSE1OOF - Central examination</x:v>
      </x:c>
      <x:c r="C1028" s="35" t="n">
        <x:v>68</x:v>
      </x:c>
      <x:c r="D1028"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1028"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028" s="35" t="n">
        <x:v>0.4</x:v>
      </x:c>
      <x:c r="G1028" s="37" t="n">
        <x:f>C1028*F1028</x:f>
        <x:v>27.200000000000003</x:v>
      </x:c>
    </x:row>
    <x:row r="1029" ht="15" hidden="0" customHeight="1">
      <x:c r="A1029" s="34" t="str">
        <x:v>STU0094</x:v>
      </x:c>
      <x:c r="B1029" s="35" t="str">
        <x:v>CSE2ALG - Test</x:v>
      </x:c>
      <x:c r="C1029" s="35" t="n">
        <x:v>63</x:v>
      </x:c>
      <x:c r="D1029"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1029" s="36" t="str">
        <x:v>SILO1: overall objectives of Algorithms and Data Structures; SILO2: identifying data structures and searching and sorting algorithms in computing contexts; SILO3: implementing data structures and searching and sorting algorithms in Java</x:v>
      </x:c>
      <x:c r="F1029" s="35" t="n">
        <x:v>0.2</x:v>
      </x:c>
      <x:c r="G1029" s="37" t="n">
        <x:f>C1029*F1029</x:f>
        <x:v>12.600000000000001</x:v>
      </x:c>
    </x:row>
    <x:row r="1030" ht="15" hidden="0" customHeight="1">
      <x:c r="A1030" s="34" t="str">
        <x:v>STU0094</x:v>
      </x:c>
      <x:c r="B1030" s="35" t="str">
        <x:v>CSE2ALG - Assignment</x:v>
      </x:c>
      <x:c r="C1030" s="35" t="n">
        <x:v>63</x:v>
      </x:c>
      <x:c r="D1030"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1030"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030" s="35" t="n">
        <x:v>0.3</x:v>
      </x:c>
      <x:c r="G1030" s="37" t="n">
        <x:f>C1030*F1030</x:f>
        <x:v>18.9</x:v>
      </x:c>
    </x:row>
    <x:row r="1031" ht="15" hidden="0" customHeight="1">
      <x:c r="A1031" s="34" t="str">
        <x:v>STU0094</x:v>
      </x:c>
      <x:c r="B1031" s="35" t="str">
        <x:v>CSE2ALG - Central examination</x:v>
      </x:c>
      <x:c r="C1031" s="35" t="n">
        <x:v>67</x:v>
      </x:c>
      <x:c r="D1031"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1031"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031" s="35" t="n">
        <x:v>0.5</x:v>
      </x:c>
      <x:c r="G1031" s="37" t="n">
        <x:f>C1031*F1031</x:f>
        <x:v>33.5</x:v>
      </x:c>
    </x:row>
    <x:row r="1032" ht="15" hidden="0" customHeight="1">
      <x:c r="A1032" s="34" t="str">
        <x:v>STU0094</x:v>
      </x:c>
      <x:c r="B1032" s="35" t="str">
        <x:v>CSE3CAP - Oral presentation: Project Milestone Presentation</x:v>
      </x:c>
      <x:c r="C1032" s="35" t="n">
        <x:v>66</x:v>
      </x:c>
      <x:c r="D1032"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1032" s="36" t="str">
        <x:v>SILO3: reporting project outcomes to technical and non-technical audiences and reflecting on feedback</x:v>
      </x:c>
      <x:c r="F1032" s="35" t="n">
        <x:v>0.1</x:v>
      </x:c>
      <x:c r="G1032" s="37" t="n">
        <x:f>C1032*F1032</x:f>
        <x:v>6.6000000000000005</x:v>
      </x:c>
    </x:row>
    <x:row r="1033" ht="15" hidden="0" customHeight="1">
      <x:c r="A1033" s="34" t="str">
        <x:v>STU0094</x:v>
      </x:c>
      <x:c r="B1033" s="35" t="str">
        <x:v>CSE3CAP - Oral presentation: Final Project Presentation</x:v>
      </x:c>
      <x:c r="C1033" s="35" t="n">
        <x:v>62</x:v>
      </x:c>
      <x:c r="D1033"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033" s="36" t="str">
        <x:v>SILO3: reporting project outcomes to technical and non-technical audiences and reflecting on feedback</x:v>
      </x:c>
      <x:c r="F1033" s="35" t="n">
        <x:v>0.2</x:v>
      </x:c>
      <x:c r="G1033" s="37" t="n">
        <x:f>C1033*F1033</x:f>
        <x:v>12.4</x:v>
      </x:c>
    </x:row>
    <x:row r="1034" ht="15" hidden="0" customHeight="1">
      <x:c r="A1034" s="34" t="str">
        <x:v>STU0094</x:v>
      </x:c>
      <x:c r="B1034" s="35" t="str">
        <x:v>CSE3CAP - Assignment: Final written Project Report</x:v>
      </x:c>
      <x:c r="C1034" s="35" t="n">
        <x:v>61</x:v>
      </x:c>
      <x:c r="D1034"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1034" s="36" t="str">
        <x:v>SILO2: industry standard technical solutions in software or cybersecurity practice; SILO4: professional system documentation and advanced technical reporting to industry standards</x:v>
      </x:c>
      <x:c r="F1034" s="35" t="n">
        <x:v>0.35</x:v>
      </x:c>
      <x:c r="G1034" s="37" t="n">
        <x:f>C1034*F1034</x:f>
        <x:v>21.349999999999998</x:v>
      </x:c>
    </x:row>
    <x:row r="1035" ht="15" hidden="0" customHeight="1">
      <x:c r="A1035" s="34" t="str">
        <x:v>STU0094</x:v>
      </x:c>
      <x:c r="B1035" s="35" t="str">
        <x:v>CSE3CAP - Assignment: Sprint Project management reports</x:v>
      </x:c>
      <x:c r="C1035" s="35" t="n">
        <x:v>64</x:v>
      </x:c>
      <x:c r="D1035"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1035" s="36" t="str">
        <x:v>SILO1: advanced project management during substantive development implementation; SILO2: industry standard technical solutions in software or cybersecurity practice</x:v>
      </x:c>
      <x:c r="F1035" s="35" t="n">
        <x:v>0.35</x:v>
      </x:c>
      <x:c r="G1035" s="37" t="n">
        <x:f>C1035*F1035</x:f>
        <x:v>22.4</x:v>
      </x:c>
    </x:row>
    <x:row r="1036" ht="15" hidden="0" customHeight="1">
      <x:c r="A1036" s="34" t="str">
        <x:v>STU0095</x:v>
      </x:c>
      <x:c r="B1036" s="35" t="str">
        <x:v>CSE1OOF - Test</x:v>
      </x:c>
      <x:c r="C1036" s="35" t="n">
        <x:v>58</x:v>
      </x:c>
      <x:c r="D1036"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1036" s="36" t="str">
        <x:v>SILO1: analysis/design/implementation compared with object-oriented modelling using objects that combine data structure and behaviour; SILO2: abstract data types and encapsulation to localise and minimise change</x:v>
      </x:c>
      <x:c r="F1036" s="35" t="n">
        <x:v>0.15</x:v>
      </x:c>
      <x:c r="G1036" s="37" t="n">
        <x:f>C1036*F1036</x:f>
        <x:v>8.7</x:v>
      </x:c>
    </x:row>
    <x:row r="1037" ht="15" hidden="0" customHeight="1">
      <x:c r="A1037" s="34" t="str">
        <x:v>STU0095</x:v>
      </x:c>
      <x:c r="B1037" s="35" t="str">
        <x:v>CSE1OOF - Practical demonstration</x:v>
      </x:c>
      <x:c r="C1037" s="35" t="n">
        <x:v>61</x:v>
      </x:c>
      <x:c r="D1037"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037" s="36" t="str">
        <x:v>SILO2: abstract data types and encapsulation to localise and minimise change; SILO3: code sharing and reuse through object-oriented techniques to reduce development time; SILO4: object-oriented design and implementation of computer programs for real-life problems</x:v>
      </x:c>
      <x:c r="F1037" s="35" t="n">
        <x:v>0.2</x:v>
      </x:c>
      <x:c r="G1037" s="37" t="n">
        <x:f>C1037*F1037</x:f>
        <x:v>12.200000000000001</x:v>
      </x:c>
    </x:row>
    <x:row r="1038" ht="15" hidden="0" customHeight="1">
      <x:c r="A1038" s="34" t="str">
        <x:v>STU0095</x:v>
      </x:c>
      <x:c r="B1038" s="35" t="str">
        <x:v>CSE1OOF - Assignment</x:v>
      </x:c>
      <x:c r="C1038" s="35" t="n">
        <x:v>56</x:v>
      </x:c>
      <x:c r="D1038"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038" s="36" t="str">
        <x:v>SILO2: abstract data types and encapsulation to localise and minimise change; SILO3: code sharing and reuse through object-oriented techniques to reduce development time; SILO4: object-oriented design and implementation of computer programs for real-life problems</x:v>
      </x:c>
      <x:c r="F1038" s="35" t="n">
        <x:v>0.25</x:v>
      </x:c>
      <x:c r="G1038" s="37" t="n">
        <x:f>C1038*F1038</x:f>
        <x:v>14</x:v>
      </x:c>
    </x:row>
    <x:row r="1039" ht="15" hidden="0" customHeight="1">
      <x:c r="A1039" s="34" t="str">
        <x:v>STU0095</x:v>
      </x:c>
      <x:c r="B1039" s="35" t="str">
        <x:v>CSE1OOF - Central examination</x:v>
      </x:c>
      <x:c r="C1039" s="35" t="n">
        <x:v>58</x:v>
      </x:c>
      <x:c r="D1039" s="36" t="str">
        <x:v>This developing result meets the core requirements but needs greater consistency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Future work should focus on consolidating the underlying concepts, applying them more consistently and explaining design or implementation decisions with stronger evidence.</x:v>
      </x:c>
      <x:c r="E1039"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039" s="35" t="n">
        <x:v>0.4</x:v>
      </x:c>
      <x:c r="G1039" s="37" t="n">
        <x:f>C1039*F1039</x:f>
        <x:v>23.200000000000003</x:v>
      </x:c>
    </x:row>
    <x:row r="1040" ht="15" hidden="0" customHeight="1">
      <x:c r="A1040" s="34" t="str">
        <x:v>STU0095</x:v>
      </x:c>
      <x:c r="B1040" s="35" t="str">
        <x:v>CSE2ALG - Test</x:v>
      </x:c>
      <x:c r="C1040" s="35" t="n">
        <x:v>59</x:v>
      </x:c>
      <x:c r="D1040"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1040" s="36" t="str">
        <x:v>SILO1: overall objectives of Algorithms and Data Structures; SILO2: identifying data structures and searching and sorting algorithms in computing contexts; SILO3: implementing data structures and searching and sorting algorithms in Java</x:v>
      </x:c>
      <x:c r="F1040" s="35" t="n">
        <x:v>0.2</x:v>
      </x:c>
      <x:c r="G1040" s="37" t="n">
        <x:f>C1040*F1040</x:f>
        <x:v>11.8</x:v>
      </x:c>
    </x:row>
    <x:row r="1041" ht="15" hidden="0" customHeight="1">
      <x:c r="A1041" s="34" t="str">
        <x:v>STU0095</x:v>
      </x:c>
      <x:c r="B1041" s="35" t="str">
        <x:v>CSE2ALG - Assignment</x:v>
      </x:c>
      <x:c r="C1041" s="35" t="n">
        <x:v>62</x:v>
      </x:c>
      <x:c r="D1041"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1041"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041" s="35" t="n">
        <x:v>0.3</x:v>
      </x:c>
      <x:c r="G1041" s="37" t="n">
        <x:f>C1041*F1041</x:f>
        <x:v>18.599999999999998</x:v>
      </x:c>
    </x:row>
    <x:row r="1042" ht="15" hidden="0" customHeight="1">
      <x:c r="A1042" s="34" t="str">
        <x:v>STU0095</x:v>
      </x:c>
      <x:c r="B1042" s="35" t="str">
        <x:v>CSE2ALG - Central examination</x:v>
      </x:c>
      <x:c r="C1042" s="35" t="n">
        <x:v>62</x:v>
      </x:c>
      <x:c r="D1042" s="36" t="str">
        <x:v>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x:v>
      </x:c>
      <x:c r="E1042"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042" s="35" t="n">
        <x:v>0.5</x:v>
      </x:c>
      <x:c r="G1042" s="37" t="n">
        <x:f>C1042*F1042</x:f>
        <x:v>31</x:v>
      </x:c>
    </x:row>
    <x:row r="1043" ht="15" hidden="0" customHeight="1">
      <x:c r="A1043" s="34" t="str">
        <x:v>STU0095</x:v>
      </x:c>
      <x:c r="B1043" s="35" t="str">
        <x:v>CSE3CAP - Oral presentation: Project Milestone Presentation</x:v>
      </x:c>
      <x:c r="C1043" s="35" t="n">
        <x:v>60</x:v>
      </x:c>
      <x:c r="D1043"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043" s="36" t="str">
        <x:v>SILO3: reporting project outcomes to technical and non-technical audiences and reflecting on feedback</x:v>
      </x:c>
      <x:c r="F1043" s="35" t="n">
        <x:v>0.1</x:v>
      </x:c>
      <x:c r="G1043" s="37" t="n">
        <x:f>C1043*F1043</x:f>
        <x:v>6</x:v>
      </x:c>
    </x:row>
    <x:row r="1044" ht="15" hidden="0" customHeight="1">
      <x:c r="A1044" s="34" t="str">
        <x:v>STU0095</x:v>
      </x:c>
      <x:c r="B1044" s="35" t="str">
        <x:v>CSE3CAP - Oral presentation: Final Project Presentation</x:v>
      </x:c>
      <x:c r="C1044" s="35" t="n">
        <x:v>60</x:v>
      </x:c>
      <x:c r="D1044"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044" s="36" t="str">
        <x:v>SILO3: reporting project outcomes to technical and non-technical audiences and reflecting on feedback</x:v>
      </x:c>
      <x:c r="F1044" s="35" t="n">
        <x:v>0.2</x:v>
      </x:c>
      <x:c r="G1044" s="37" t="n">
        <x:f>C1044*F1044</x:f>
        <x:v>12</x:v>
      </x:c>
    </x:row>
    <x:row r="1045" ht="15" hidden="0" customHeight="1">
      <x:c r="A1045" s="34" t="str">
        <x:v>STU0095</x:v>
      </x:c>
      <x:c r="B1045" s="35" t="str">
        <x:v>CSE3CAP - Assignment: Final written Project Report</x:v>
      </x:c>
      <x:c r="C1045" s="35" t="n">
        <x:v>61</x:v>
      </x:c>
      <x:c r="D1045"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1045" s="36" t="str">
        <x:v>SILO2: industry standard technical solutions in software or cybersecurity practice; SILO4: professional system documentation and advanced technical reporting to industry standards</x:v>
      </x:c>
      <x:c r="F1045" s="35" t="n">
        <x:v>0.35</x:v>
      </x:c>
      <x:c r="G1045" s="37" t="n">
        <x:f>C1045*F1045</x:f>
        <x:v>21.349999999999998</x:v>
      </x:c>
    </x:row>
    <x:row r="1046" ht="15" hidden="0" customHeight="1">
      <x:c r="A1046" s="34" t="str">
        <x:v>STU0095</x:v>
      </x:c>
      <x:c r="B1046" s="35" t="str">
        <x:v>CSE3CAP - Assignment: Sprint Project management reports</x:v>
      </x:c>
      <x:c r="C1046" s="35" t="n">
        <x:v>64</x:v>
      </x:c>
      <x:c r="D1046"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1046" s="36" t="str">
        <x:v>SILO1: advanced project management during substantive development implementation; SILO2: industry standard technical solutions in software or cybersecurity practice</x:v>
      </x:c>
      <x:c r="F1046" s="35" t="n">
        <x:v>0.35</x:v>
      </x:c>
      <x:c r="G1046" s="37" t="n">
        <x:f>C1046*F1046</x:f>
        <x:v>22.4</x:v>
      </x:c>
    </x:row>
    <x:row r="1047" ht="15" hidden="0" customHeight="1">
      <x:c r="A1047" s="34" t="str">
        <x:v>STU0096</x:v>
      </x:c>
      <x:c r="B1047" s="35" t="str">
        <x:v>CSE1OOF - Test</x:v>
      </x:c>
      <x:c r="C1047" s="35" t="n">
        <x:v>57</x:v>
      </x:c>
      <x:c r="D1047"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1047" s="36" t="str">
        <x:v>SILO1: analysis/design/implementation compared with object-oriented modelling using objects that combine data structure and behaviour; SILO2: abstract data types and encapsulation to localise and minimise change</x:v>
      </x:c>
      <x:c r="F1047" s="35" t="n">
        <x:v>0.15</x:v>
      </x:c>
      <x:c r="G1047" s="37" t="n">
        <x:f>C1047*F1047</x:f>
        <x:v>8.549999999999999</x:v>
      </x:c>
    </x:row>
    <x:row r="1048" ht="15" hidden="0" customHeight="1">
      <x:c r="A1048" s="34" t="str">
        <x:v>STU0096</x:v>
      </x:c>
      <x:c r="B1048" s="35" t="str">
        <x:v>CSE1OOF - Practical demonstration</x:v>
      </x:c>
      <x:c r="C1048" s="35" t="n">
        <x:v>58</x:v>
      </x:c>
      <x:c r="D1048"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048" s="36" t="str">
        <x:v>SILO2: abstract data types and encapsulation to localise and minimise change; SILO3: code sharing and reuse through object-oriented techniques to reduce development time; SILO4: object-oriented design and implementation of computer programs for real-life problems</x:v>
      </x:c>
      <x:c r="F1048" s="35" t="n">
        <x:v>0.2</x:v>
      </x:c>
      <x:c r="G1048" s="37" t="n">
        <x:f>C1048*F1048</x:f>
        <x:v>11.600000000000001</x:v>
      </x:c>
    </x:row>
    <x:row r="1049" ht="15" hidden="0" customHeight="1">
      <x:c r="A1049" s="34" t="str">
        <x:v>STU0096</x:v>
      </x:c>
      <x:c r="B1049" s="35" t="str">
        <x:v>CSE1OOF - Assignment</x:v>
      </x:c>
      <x:c r="C1049" s="35" t="n">
        <x:v>56</x:v>
      </x:c>
      <x:c r="D1049"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049" s="36" t="str">
        <x:v>SILO2: abstract data types and encapsulation to localise and minimise change; SILO3: code sharing and reuse through object-oriented techniques to reduce development time; SILO4: object-oriented design and implementation of computer programs for real-life problems</x:v>
      </x:c>
      <x:c r="F1049" s="35" t="n">
        <x:v>0.25</x:v>
      </x:c>
      <x:c r="G1049" s="37" t="n">
        <x:f>C1049*F1049</x:f>
        <x:v>14</x:v>
      </x:c>
    </x:row>
    <x:row r="1050" ht="15" hidden="0" customHeight="1">
      <x:c r="A1050" s="34" t="str">
        <x:v>STU0096</x:v>
      </x:c>
      <x:c r="B1050" s="35" t="str">
        <x:v>CSE1OOF - Central examination</x:v>
      </x:c>
      <x:c r="C1050" s="35" t="n">
        <x:v>56</x:v>
      </x:c>
      <x:c r="D1050" s="36" t="str">
        <x:v>This developing result meets the core requirements but needs greater consistency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Future work should focus on consolidating the underlying concepts, applying them more consistently and explaining design or implementation decisions with stronger evidence.</x:v>
      </x:c>
      <x:c r="E1050"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050" s="35" t="n">
        <x:v>0.4</x:v>
      </x:c>
      <x:c r="G1050" s="37" t="n">
        <x:f>C1050*F1050</x:f>
        <x:v>22.400000000000002</x:v>
      </x:c>
    </x:row>
    <x:row r="1051" ht="15" hidden="0" customHeight="1">
      <x:c r="A1051" s="34" t="str">
        <x:v>STU0096</x:v>
      </x:c>
      <x:c r="B1051" s="35" t="str">
        <x:v>CSE2ALG - Test</x:v>
      </x:c>
      <x:c r="C1051" s="35" t="n">
        <x:v>54</x:v>
      </x:c>
      <x:c r="D1051"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1051" s="36" t="str">
        <x:v>SILO1: overall objectives of Algorithms and Data Structures; SILO2: identifying data structures and searching and sorting algorithms in computing contexts; SILO3: implementing data structures and searching and sorting algorithms in Java</x:v>
      </x:c>
      <x:c r="F1051" s="35" t="n">
        <x:v>0.2</x:v>
      </x:c>
      <x:c r="G1051" s="37" t="n">
        <x:f>C1051*F1051</x:f>
        <x:v>10.8</x:v>
      </x:c>
    </x:row>
    <x:row r="1052" ht="15" hidden="0" customHeight="1">
      <x:c r="A1052" s="34" t="str">
        <x:v>STU0096</x:v>
      </x:c>
      <x:c r="B1052" s="35" t="str">
        <x:v>CSE2ALG - Assignment</x:v>
      </x:c>
      <x:c r="C1052" s="35" t="n">
        <x:v>60</x:v>
      </x:c>
      <x:c r="D1052"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1052"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052" s="35" t="n">
        <x:v>0.3</x:v>
      </x:c>
      <x:c r="G1052" s="37" t="n">
        <x:f>C1052*F1052</x:f>
        <x:v>18</x:v>
      </x:c>
    </x:row>
    <x:row r="1053" ht="15" hidden="0" customHeight="1">
      <x:c r="A1053" s="34" t="str">
        <x:v>STU0096</x:v>
      </x:c>
      <x:c r="B1053" s="35" t="str">
        <x:v>CSE2ALG - Central examination</x:v>
      </x:c>
      <x:c r="C1053" s="35" t="n">
        <x:v>59</x:v>
      </x:c>
      <x:c r="D1053" s="36" t="str">
        <x:v>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x:v>
      </x:c>
      <x:c r="E1053"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053" s="35" t="n">
        <x:v>0.5</x:v>
      </x:c>
      <x:c r="G1053" s="37" t="n">
        <x:f>C1053*F1053</x:f>
        <x:v>29.5</x:v>
      </x:c>
    </x:row>
    <x:row r="1054" ht="15" hidden="0" customHeight="1">
      <x:c r="A1054" s="34" t="str">
        <x:v>STU0096</x:v>
      </x:c>
      <x:c r="B1054" s="35" t="str">
        <x:v>CSE3CAP - Oral presentation: Project Milestone Presentation</x:v>
      </x:c>
      <x:c r="C1054" s="35" t="n">
        <x:v>59</x:v>
      </x:c>
      <x:c r="D1054"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054" s="36" t="str">
        <x:v>SILO3: reporting project outcomes to technical and non-technical audiences and reflecting on feedback</x:v>
      </x:c>
      <x:c r="F1054" s="35" t="n">
        <x:v>0.1</x:v>
      </x:c>
      <x:c r="G1054" s="37" t="n">
        <x:f>C1054*F1054</x:f>
        <x:v>5.9</x:v>
      </x:c>
    </x:row>
    <x:row r="1055" ht="15" hidden="0" customHeight="1">
      <x:c r="A1055" s="34" t="str">
        <x:v>STU0096</x:v>
      </x:c>
      <x:c r="B1055" s="35" t="str">
        <x:v>CSE3CAP - Oral presentation: Final Project Presentation</x:v>
      </x:c>
      <x:c r="C1055" s="35" t="n">
        <x:v>57</x:v>
      </x:c>
      <x:c r="D1055"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055" s="36" t="str">
        <x:v>SILO3: reporting project outcomes to technical and non-technical audiences and reflecting on feedback</x:v>
      </x:c>
      <x:c r="F1055" s="35" t="n">
        <x:v>0.2</x:v>
      </x:c>
      <x:c r="G1055" s="37" t="n">
        <x:f>C1055*F1055</x:f>
        <x:v>11.4</x:v>
      </x:c>
    </x:row>
    <x:row r="1056" ht="15" hidden="0" customHeight="1">
      <x:c r="A1056" s="34" t="str">
        <x:v>STU0096</x:v>
      </x:c>
      <x:c r="B1056" s="35" t="str">
        <x:v>CSE3CAP - Assignment: Final written Project Report</x:v>
      </x:c>
      <x:c r="C1056" s="35" t="n">
        <x:v>56</x:v>
      </x:c>
      <x:c r="D1056"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1056" s="36" t="str">
        <x:v>SILO2: industry standard technical solutions in software or cybersecurity practice; SILO4: professional system documentation and advanced technical reporting to industry standards</x:v>
      </x:c>
      <x:c r="F1056" s="35" t="n">
        <x:v>0.35</x:v>
      </x:c>
      <x:c r="G1056" s="37" t="n">
        <x:f>C1056*F1056</x:f>
        <x:v>19.599999999999998</x:v>
      </x:c>
    </x:row>
    <x:row r="1057" ht="15" hidden="0" customHeight="1">
      <x:c r="A1057" s="34" t="str">
        <x:v>STU0096</x:v>
      </x:c>
      <x:c r="B1057" s="35" t="str">
        <x:v>CSE3CAP - Assignment: Sprint Project management reports</x:v>
      </x:c>
      <x:c r="C1057" s="35" t="n">
        <x:v>57</x:v>
      </x:c>
      <x:c r="D1057"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1057" s="36" t="str">
        <x:v>SILO1: advanced project management during substantive development implementation; SILO2: industry standard technical solutions in software or cybersecurity practice</x:v>
      </x:c>
      <x:c r="F1057" s="35" t="n">
        <x:v>0.35</x:v>
      </x:c>
      <x:c r="G1057" s="37" t="n">
        <x:f>C1057*F1057</x:f>
        <x:v>19.95</x:v>
      </x:c>
    </x:row>
    <x:row r="1058" ht="15" hidden="0" customHeight="1">
      <x:c r="A1058" s="34" t="str">
        <x:v>STU0097</x:v>
      </x:c>
      <x:c r="B1058" s="35" t="str">
        <x:v>CSE1OOF - Test</x:v>
      </x:c>
      <x:c r="C1058" s="35" t="n">
        <x:v>74</x:v>
      </x:c>
      <x:c r="D1058"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1058" s="36" t="str">
        <x:v>SILO1: analysis/design/implementation compared with object-oriented modelling using objects that combine data structure and behaviour; SILO2: abstract data types and encapsulation to localise and minimise change</x:v>
      </x:c>
      <x:c r="F1058" s="35" t="n">
        <x:v>0.15</x:v>
      </x:c>
      <x:c r="G1058" s="37" t="n">
        <x:f>C1058*F1058</x:f>
        <x:v>11.1</x:v>
      </x:c>
    </x:row>
    <x:row r="1059" ht="15" hidden="0" customHeight="1">
      <x:c r="A1059" s="34" t="str">
        <x:v>STU0097</x:v>
      </x:c>
      <x:c r="B1059" s="35" t="str">
        <x:v>CSE1OOF - Practical demonstration</x:v>
      </x:c>
      <x:c r="C1059" s="35" t="n">
        <x:v>72</x:v>
      </x:c>
      <x:c r="D1059"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059" s="36" t="str">
        <x:v>SILO2: abstract data types and encapsulation to localise and minimise change; SILO3: code sharing and reuse through object-oriented techniques to reduce development time; SILO4: object-oriented design and implementation of computer programs for real-life problems</x:v>
      </x:c>
      <x:c r="F1059" s="35" t="n">
        <x:v>0.2</x:v>
      </x:c>
      <x:c r="G1059" s="37" t="n">
        <x:f>C1059*F1059</x:f>
        <x:v>14.4</x:v>
      </x:c>
    </x:row>
    <x:row r="1060" ht="15" hidden="0" customHeight="1">
      <x:c r="A1060" s="34" t="str">
        <x:v>STU0097</x:v>
      </x:c>
      <x:c r="B1060" s="35" t="str">
        <x:v>CSE1OOF - Assignment</x:v>
      </x:c>
      <x:c r="C1060" s="35" t="n">
        <x:v>75</x:v>
      </x:c>
      <x:c r="D1060"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1060" s="36" t="str">
        <x:v>SILO2: abstract data types and encapsulation to localise and minimise change; SILO3: code sharing and reuse through object-oriented techniques to reduce development time; SILO4: object-oriented design and implementation of computer programs for real-life problems</x:v>
      </x:c>
      <x:c r="F1060" s="35" t="n">
        <x:v>0.25</x:v>
      </x:c>
      <x:c r="G1060" s="37" t="n">
        <x:f>C1060*F1060</x:f>
        <x:v>18.75</x:v>
      </x:c>
    </x:row>
    <x:row r="1061" ht="15" hidden="0" customHeight="1">
      <x:c r="A1061" s="34" t="str">
        <x:v>STU0097</x:v>
      </x:c>
      <x:c r="B1061" s="35" t="str">
        <x:v>CSE1OOF - Central examination</x:v>
      </x:c>
      <x:c r="C1061" s="35" t="n">
        <x:v>73</x:v>
      </x:c>
      <x:c r="D1061"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1061"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061" s="35" t="n">
        <x:v>0.4</x:v>
      </x:c>
      <x:c r="G1061" s="37" t="n">
        <x:f>C1061*F1061</x:f>
        <x:v>29.200000000000003</x:v>
      </x:c>
    </x:row>
    <x:row r="1062" ht="15" hidden="0" customHeight="1">
      <x:c r="A1062" s="34" t="str">
        <x:v>STU0097</x:v>
      </x:c>
      <x:c r="B1062" s="35" t="str">
        <x:v>CSE2ALG - Test</x:v>
      </x:c>
      <x:c r="C1062" s="35" t="n">
        <x:v>77</x:v>
      </x:c>
      <x:c r="D1062" s="36" t="str">
        <x:v>This strong result shows well-developed understanding of the relevant learning themes, particularly overall objectives of Algorithms and Data Structures, identifying data structures and searching and sorting algorithms in computing contexts, and implementing data structures and searching and sorting algorithms in Java. Further improvement would come from deeper justification, more consistent evaluation evidence and tighter links between decisions and implementation details.</x:v>
      </x:c>
      <x:c r="E1062" s="36" t="str">
        <x:v>SILO1: overall objectives of Algorithms and Data Structures; SILO2: identifying data structures and searching and sorting algorithms in computing contexts; SILO3: implementing data structures and searching and sorting algorithms in Java</x:v>
      </x:c>
      <x:c r="F1062" s="35" t="n">
        <x:v>0.2</x:v>
      </x:c>
      <x:c r="G1062" s="37" t="n">
        <x:f>C1062*F1062</x:f>
        <x:v>15.4</x:v>
      </x:c>
    </x:row>
    <x:row r="1063" ht="15" hidden="0" customHeight="1">
      <x:c r="A1063" s="34" t="str">
        <x:v>STU0097</x:v>
      </x:c>
      <x:c r="B1063" s="35" t="str">
        <x:v>CSE2ALG - Assignment</x:v>
      </x:c>
      <x:c r="C1063" s="35" t="n">
        <x:v>75</x:v>
      </x:c>
      <x:c r="D1063" s="36" t="str">
        <x:v>This strong result shows well-developed understanding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Further improvement would come from deeper justification, more consistent evaluation evidence and tighter links between decisions and implementation details.</x:v>
      </x:c>
      <x:c r="E1063"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063" s="35" t="n">
        <x:v>0.3</x:v>
      </x:c>
      <x:c r="G1063" s="37" t="n">
        <x:f>C1063*F1063</x:f>
        <x:v>22.5</x:v>
      </x:c>
    </x:row>
    <x:row r="1064" ht="15" hidden="0" customHeight="1">
      <x:c r="A1064" s="34" t="str">
        <x:v>STU0097</x:v>
      </x:c>
      <x:c r="B1064" s="35" t="str">
        <x:v>CSE2ALG - Central examination</x:v>
      </x:c>
      <x:c r="C1064" s="35" t="n">
        <x:v>76</x:v>
      </x:c>
      <x:c r="D1064" s="36" t="str">
        <x:v>This strong result shows well-developed understanding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Further improvement would come from deeper justification, more consistent evaluation evidence and tighter links between decisions and implementation details.</x:v>
      </x:c>
      <x:c r="E1064"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064" s="35" t="n">
        <x:v>0.5</x:v>
      </x:c>
      <x:c r="G1064" s="37" t="n">
        <x:f>C1064*F1064</x:f>
        <x:v>38</x:v>
      </x:c>
    </x:row>
    <x:row r="1065" ht="15" hidden="0" customHeight="1">
      <x:c r="A1065" s="34" t="str">
        <x:v>STU0097</x:v>
      </x:c>
      <x:c r="B1065" s="35" t="str">
        <x:v>CSE3CAP - Oral presentation: Project Milestone Presentation</x:v>
      </x:c>
      <x:c r="C1065" s="35" t="n">
        <x:v>75</x:v>
      </x:c>
      <x:c r="D1065"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1065" s="36" t="str">
        <x:v>SILO3: reporting project outcomes to technical and non-technical audiences and reflecting on feedback</x:v>
      </x:c>
      <x:c r="F1065" s="35" t="n">
        <x:v>0.1</x:v>
      </x:c>
      <x:c r="G1065" s="37" t="n">
        <x:f>C1065*F1065</x:f>
        <x:v>7.5</x:v>
      </x:c>
    </x:row>
    <x:row r="1066" ht="15" hidden="0" customHeight="1">
      <x:c r="A1066" s="34" t="str">
        <x:v>STU0097</x:v>
      </x:c>
      <x:c r="B1066" s="35" t="str">
        <x:v>CSE3CAP - Oral presentation: Final Project Presentation</x:v>
      </x:c>
      <x:c r="C1066" s="35" t="n">
        <x:v>80</x:v>
      </x:c>
      <x:c r="D1066"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1066" s="36" t="str">
        <x:v>SILO3: reporting project outcomes to technical and non-technical audiences and reflecting on feedback</x:v>
      </x:c>
      <x:c r="F1066" s="35" t="n">
        <x:v>0.2</x:v>
      </x:c>
      <x:c r="G1066" s="37" t="n">
        <x:f>C1066*F1066</x:f>
        <x:v>16</x:v>
      </x:c>
    </x:row>
    <x:row r="1067" ht="15" hidden="0" customHeight="1">
      <x:c r="A1067" s="34" t="str">
        <x:v>STU0097</x:v>
      </x:c>
      <x:c r="B1067" s="35" t="str">
        <x:v>CSE3CAP - Assignment: Final written Project Report</x:v>
      </x:c>
      <x:c r="C1067" s="35" t="n">
        <x:v>75</x:v>
      </x:c>
      <x:c r="D1067" s="36" t="str">
        <x:v>This strong result shows well-developed understanding of the relevant learning themes, particularly industry standard technical solutions in software or cybersecurity practice and professional system documentation and advanced technical reporting to industry standards. Further improvement would come from deeper justification, more consistent evaluation evidence and tighter links between decisions and implementation details.</x:v>
      </x:c>
      <x:c r="E1067" s="36" t="str">
        <x:v>SILO2: industry standard technical solutions in software or cybersecurity practice; SILO4: professional system documentation and advanced technical reporting to industry standards</x:v>
      </x:c>
      <x:c r="F1067" s="35" t="n">
        <x:v>0.35</x:v>
      </x:c>
      <x:c r="G1067" s="37" t="n">
        <x:f>C1067*F1067</x:f>
        <x:v>26.25</x:v>
      </x:c>
    </x:row>
    <x:row r="1068" ht="15" hidden="0" customHeight="1">
      <x:c r="A1068" s="34" t="str">
        <x:v>STU0097</x:v>
      </x:c>
      <x:c r="B1068" s="35" t="str">
        <x:v>CSE3CAP - Assignment: Sprint Project management reports</x:v>
      </x:c>
      <x:c r="C1068" s="35" t="n">
        <x:v>77</x:v>
      </x:c>
      <x:c r="D1068" s="36" t="str">
        <x:v>This strong result shows well-developed understanding of the relevant learning themes, particularly advanced project management during substantive development implementation and industry standard technical solutions in software or cybersecurity practice. Further improvement would come from deeper justification, more consistent evaluation evidence and tighter links between decisions and implementation details.</x:v>
      </x:c>
      <x:c r="E1068" s="36" t="str">
        <x:v>SILO1: advanced project management during substantive development implementation; SILO2: industry standard technical solutions in software or cybersecurity practice</x:v>
      </x:c>
      <x:c r="F1068" s="35" t="n">
        <x:v>0.35</x:v>
      </x:c>
      <x:c r="G1068" s="37" t="n">
        <x:f>C1068*F1068</x:f>
        <x:v>26.95</x:v>
      </x:c>
    </x:row>
    <x:row r="1069" ht="15" hidden="0" customHeight="1">
      <x:c r="A1069" s="34" t="str">
        <x:v>STU0098</x:v>
      </x:c>
      <x:c r="B1069" s="35" t="str">
        <x:v>CSE1OOF - Test</x:v>
      </x:c>
      <x:c r="C1069" s="35" t="n">
        <x:v>80</x:v>
      </x:c>
      <x:c r="D1069" s="36" t="str">
        <x:v>This strong result shows well-developed understanding of the relevant learning themes, particularly analysis/design/implementation compared with object-oriented modelling using objects that combine data structure and behaviour and abstract data types and encapsulation to localise and minimise change. Further improvement would come from deeper justification, more consistent evaluation evidence and tighter links between decisions and implementation details.</x:v>
      </x:c>
      <x:c r="E1069" s="36" t="str">
        <x:v>SILO1: analysis/design/implementation compared with object-oriented modelling using objects that combine data structure and behaviour; SILO2: abstract data types and encapsulation to localise and minimise change</x:v>
      </x:c>
      <x:c r="F1069" s="35" t="n">
        <x:v>0.15</x:v>
      </x:c>
      <x:c r="G1069" s="37" t="n">
        <x:f>C1069*F1069</x:f>
        <x:v>12</x:v>
      </x:c>
    </x:row>
    <x:row r="1070" ht="15" hidden="0" customHeight="1">
      <x:c r="A1070" s="34" t="str">
        <x:v>STU0098</x:v>
      </x:c>
      <x:c r="B1070" s="35" t="str">
        <x:v>CSE1OOF - Practical demonstration</x:v>
      </x:c>
      <x:c r="C1070" s="35" t="n">
        <x:v>78</x:v>
      </x:c>
      <x:c r="D1070"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1070" s="36" t="str">
        <x:v>SILO2: abstract data types and encapsulation to localise and minimise change; SILO3: code sharing and reuse through object-oriented techniques to reduce development time; SILO4: object-oriented design and implementation of computer programs for real-life problems</x:v>
      </x:c>
      <x:c r="F1070" s="35" t="n">
        <x:v>0.2</x:v>
      </x:c>
      <x:c r="G1070" s="37" t="n">
        <x:f>C1070*F1070</x:f>
        <x:v>15.600000000000001</x:v>
      </x:c>
    </x:row>
    <x:row r="1071" ht="15" hidden="0" customHeight="1">
      <x:c r="A1071" s="34" t="str">
        <x:v>STU0098</x:v>
      </x:c>
      <x:c r="B1071" s="35" t="str">
        <x:v>CSE1OOF - Assignment</x:v>
      </x:c>
      <x:c r="C1071" s="35" t="n">
        <x:v>84</x:v>
      </x:c>
      <x:c r="D1071"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1071" s="36" t="str">
        <x:v>SILO2: abstract data types and encapsulation to localise and minimise change; SILO3: code sharing and reuse through object-oriented techniques to reduce development time; SILO4: object-oriented design and implementation of computer programs for real-life problems</x:v>
      </x:c>
      <x:c r="F1071" s="35" t="n">
        <x:v>0.25</x:v>
      </x:c>
      <x:c r="G1071" s="37" t="n">
        <x:f>C1071*F1071</x:f>
        <x:v>21</x:v>
      </x:c>
    </x:row>
    <x:row r="1072" ht="15" hidden="0" customHeight="1">
      <x:c r="A1072" s="34" t="str">
        <x:v>STU0098</x:v>
      </x:c>
      <x:c r="B1072" s="35" t="str">
        <x:v>CSE1OOF - Central examination</x:v>
      </x:c>
      <x:c r="C1072" s="35" t="n">
        <x:v>81</x:v>
      </x:c>
      <x:c r="D1072" s="36" t="str">
        <x:v>This strong result shows well-developed understanding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Further improvement would come from deeper justification, more consistent evaluation evidence and tighter links between decisions and implementation details.</x:v>
      </x:c>
      <x:c r="E1072"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072" s="35" t="n">
        <x:v>0.4</x:v>
      </x:c>
      <x:c r="G1072" s="37" t="n">
        <x:f>C1072*F1072</x:f>
        <x:v>32.4</x:v>
      </x:c>
    </x:row>
    <x:row r="1073" ht="15" hidden="0" customHeight="1">
      <x:c r="A1073" s="34" t="str">
        <x:v>STU0098</x:v>
      </x:c>
      <x:c r="B1073" s="35" t="str">
        <x:v>CSE2ALG - Test</x:v>
      </x:c>
      <x:c r="C1073" s="35" t="n">
        <x:v>74</x:v>
      </x:c>
      <x:c r="D1073"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1073" s="36" t="str">
        <x:v>SILO1: overall objectives of Algorithms and Data Structures; SILO2: identifying data structures and searching and sorting algorithms in computing contexts; SILO3: implementing data structures and searching and sorting algorithms in Java</x:v>
      </x:c>
      <x:c r="F1073" s="35" t="n">
        <x:v>0.2</x:v>
      </x:c>
      <x:c r="G1073" s="37" t="n">
        <x:f>C1073*F1073</x:f>
        <x:v>14.8</x:v>
      </x:c>
    </x:row>
    <x:row r="1074" ht="15" hidden="0" customHeight="1">
      <x:c r="A1074" s="34" t="str">
        <x:v>STU0098</x:v>
      </x:c>
      <x:c r="B1074" s="35" t="str">
        <x:v>CSE2ALG - Assignment</x:v>
      </x:c>
      <x:c r="C1074" s="35" t="n">
        <x:v>74</x:v>
      </x:c>
      <x:c r="D1074" s="36" t="str">
        <x:v>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x:v>
      </x:c>
      <x:c r="E1074"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074" s="35" t="n">
        <x:v>0.3</x:v>
      </x:c>
      <x:c r="G1074" s="37" t="n">
        <x:f>C1074*F1074</x:f>
        <x:v>22.2</x:v>
      </x:c>
    </x:row>
    <x:row r="1075" ht="15" hidden="0" customHeight="1">
      <x:c r="A1075" s="34" t="str">
        <x:v>STU0098</x:v>
      </x:c>
      <x:c r="B1075" s="35" t="str">
        <x:v>CSE2ALG - Central examination</x:v>
      </x:c>
      <x:c r="C1075" s="35" t="n">
        <x:v>76</x:v>
      </x:c>
      <x:c r="D1075" s="36" t="str">
        <x:v>This strong result shows well-developed understanding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Further improvement would come from deeper justification, more consistent evaluation evidence and tighter links between decisions and implementation details.</x:v>
      </x:c>
      <x:c r="E1075"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075" s="35" t="n">
        <x:v>0.5</x:v>
      </x:c>
      <x:c r="G1075" s="37" t="n">
        <x:f>C1075*F1075</x:f>
        <x:v>38</x:v>
      </x:c>
    </x:row>
    <x:row r="1076" ht="15" hidden="0" customHeight="1">
      <x:c r="A1076" s="34" t="str">
        <x:v>STU0098</x:v>
      </x:c>
      <x:c r="B1076" s="35" t="str">
        <x:v>CSE3CAP - Oral presentation: Project Milestone Presentation</x:v>
      </x:c>
      <x:c r="C1076" s="35" t="n">
        <x:v>84</x:v>
      </x:c>
      <x:c r="D1076"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1076" s="36" t="str">
        <x:v>SILO3: reporting project outcomes to technical and non-technical audiences and reflecting on feedback</x:v>
      </x:c>
      <x:c r="F1076" s="35" t="n">
        <x:v>0.1</x:v>
      </x:c>
      <x:c r="G1076" s="37" t="n">
        <x:f>C1076*F1076</x:f>
        <x:v>8.4</x:v>
      </x:c>
    </x:row>
    <x:row r="1077" ht="15" hidden="0" customHeight="1">
      <x:c r="A1077" s="34" t="str">
        <x:v>STU0098</x:v>
      </x:c>
      <x:c r="B1077" s="35" t="str">
        <x:v>CSE3CAP - Oral presentation: Final Project Presentation</x:v>
      </x:c>
      <x:c r="C1077" s="35" t="n">
        <x:v>82</x:v>
      </x:c>
      <x:c r="D1077"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1077" s="36" t="str">
        <x:v>SILO3: reporting project outcomes to technical and non-technical audiences and reflecting on feedback</x:v>
      </x:c>
      <x:c r="F1077" s="35" t="n">
        <x:v>0.2</x:v>
      </x:c>
      <x:c r="G1077" s="37" t="n">
        <x:f>C1077*F1077</x:f>
        <x:v>16.400000000000002</x:v>
      </x:c>
    </x:row>
    <x:row r="1078" ht="15" hidden="0" customHeight="1">
      <x:c r="A1078" s="34" t="str">
        <x:v>STU0098</x:v>
      </x:c>
      <x:c r="B1078" s="35" t="str">
        <x:v>CSE3CAP - Assignment: Final written Project Report</x:v>
      </x:c>
      <x:c r="C1078" s="35" t="n">
        <x:v>85</x:v>
      </x:c>
      <x:c r="D1078" s="36" t="str">
        <x:v>This excellent result demonstrates confident and independent command of the relevant learning themes, particularly industry standard technical solutions in software or cybersecurity practice and professional system documentation and advanced technical reporting to industry standards. The work is clear, accurate and well justified, with only minor opportunities to further polish explanation or evaluation.</x:v>
      </x:c>
      <x:c r="E1078" s="36" t="str">
        <x:v>SILO2: industry standard technical solutions in software or cybersecurity practice; SILO4: professional system documentation and advanced technical reporting to industry standards</x:v>
      </x:c>
      <x:c r="F1078" s="35" t="n">
        <x:v>0.35</x:v>
      </x:c>
      <x:c r="G1078" s="37" t="n">
        <x:f>C1078*F1078</x:f>
        <x:v>29.749999999999996</x:v>
      </x:c>
    </x:row>
    <x:row r="1079" ht="15" hidden="0" customHeight="1">
      <x:c r="A1079" s="34" t="str">
        <x:v>STU0098</x:v>
      </x:c>
      <x:c r="B1079" s="35" t="str">
        <x:v>CSE3CAP - Assignment: Sprint Project management reports</x:v>
      </x:c>
      <x:c r="C1079" s="35" t="n">
        <x:v>80</x:v>
      </x:c>
      <x:c r="D1079" s="36" t="str">
        <x:v>This strong result shows well-developed understanding of the relevant learning themes, particularly advanced project management during substantive development implementation and industry standard technical solutions in software or cybersecurity practice. Further improvement would come from deeper justification, more consistent evaluation evidence and tighter links between decisions and implementation details.</x:v>
      </x:c>
      <x:c r="E1079" s="36" t="str">
        <x:v>SILO1: advanced project management during substantive development implementation; SILO2: industry standard technical solutions in software or cybersecurity practice</x:v>
      </x:c>
      <x:c r="F1079" s="35" t="n">
        <x:v>0.35</x:v>
      </x:c>
      <x:c r="G1079" s="37" t="n">
        <x:f>C1079*F1079</x:f>
        <x:v>28</x:v>
      </x:c>
    </x:row>
    <x:row r="1080" ht="15" hidden="0" customHeight="1">
      <x:c r="A1080" s="34" t="str">
        <x:v>STU0099</x:v>
      </x:c>
      <x:c r="B1080" s="35" t="str">
        <x:v>CSE1OOF - Test</x:v>
      </x:c>
      <x:c r="C1080" s="35" t="n">
        <x:v>66</x:v>
      </x:c>
      <x:c r="D1080"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1080" s="36" t="str">
        <x:v>SILO1: analysis/design/implementation compared with object-oriented modelling using objects that combine data structure and behaviour; SILO2: abstract data types and encapsulation to localise and minimise change</x:v>
      </x:c>
      <x:c r="F1080" s="35" t="n">
        <x:v>0.15</x:v>
      </x:c>
      <x:c r="G1080" s="37" t="n">
        <x:f>C1080*F1080</x:f>
        <x:v>9.9</x:v>
      </x:c>
    </x:row>
    <x:row r="1081" ht="15" hidden="0" customHeight="1">
      <x:c r="A1081" s="34" t="str">
        <x:v>STU0099</x:v>
      </x:c>
      <x:c r="B1081" s="35" t="str">
        <x:v>CSE1OOF - Practical demonstration</x:v>
      </x:c>
      <x:c r="C1081" s="35" t="n">
        <x:v>64</x:v>
      </x:c>
      <x:c r="D1081"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081" s="36" t="str">
        <x:v>SILO2: abstract data types and encapsulation to localise and minimise change; SILO3: code sharing and reuse through object-oriented techniques to reduce development time; SILO4: object-oriented design and implementation of computer programs for real-life problems</x:v>
      </x:c>
      <x:c r="F1081" s="35" t="n">
        <x:v>0.2</x:v>
      </x:c>
      <x:c r="G1081" s="37" t="n">
        <x:f>C1081*F1081</x:f>
        <x:v>12.8</x:v>
      </x:c>
    </x:row>
    <x:row r="1082" ht="15" hidden="0" customHeight="1">
      <x:c r="A1082" s="34" t="str">
        <x:v>STU0099</x:v>
      </x:c>
      <x:c r="B1082" s="35" t="str">
        <x:v>CSE1OOF - Assignment</x:v>
      </x:c>
      <x:c r="C1082" s="35" t="n">
        <x:v>64</x:v>
      </x:c>
      <x:c r="D1082"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082" s="36" t="str">
        <x:v>SILO2: abstract data types and encapsulation to localise and minimise change; SILO3: code sharing and reuse through object-oriented techniques to reduce development time; SILO4: object-oriented design and implementation of computer programs for real-life problems</x:v>
      </x:c>
      <x:c r="F1082" s="35" t="n">
        <x:v>0.25</x:v>
      </x:c>
      <x:c r="G1082" s="37" t="n">
        <x:f>C1082*F1082</x:f>
        <x:v>16</x:v>
      </x:c>
    </x:row>
    <x:row r="1083" ht="15" hidden="0" customHeight="1">
      <x:c r="A1083" s="34" t="str">
        <x:v>STU0099</x:v>
      </x:c>
      <x:c r="B1083" s="35" t="str">
        <x:v>CSE1OOF - Central examination</x:v>
      </x:c>
      <x:c r="C1083" s="35" t="n">
        <x:v>61</x:v>
      </x:c>
      <x:c r="D1083" s="36" t="str">
        <x:v>This developing result meets the core requirements but needs greater consistency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Future work should focus on consolidating the underlying concepts, applying them more consistently and explaining design or implementation decisions with stronger evidence.</x:v>
      </x:c>
      <x:c r="E1083"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083" s="35" t="n">
        <x:v>0.4</x:v>
      </x:c>
      <x:c r="G1083" s="37" t="n">
        <x:f>C1083*F1083</x:f>
        <x:v>24.400000000000002</x:v>
      </x:c>
    </x:row>
    <x:row r="1084" ht="15" hidden="0" customHeight="1">
      <x:c r="A1084" s="34" t="str">
        <x:v>STU0099</x:v>
      </x:c>
      <x:c r="B1084" s="35" t="str">
        <x:v>CSE2ALG - Test</x:v>
      </x:c>
      <x:c r="C1084" s="35" t="n">
        <x:v>63</x:v>
      </x:c>
      <x:c r="D1084"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1084" s="36" t="str">
        <x:v>SILO1: overall objectives of Algorithms and Data Structures; SILO2: identifying data structures and searching and sorting algorithms in computing contexts; SILO3: implementing data structures and searching and sorting algorithms in Java</x:v>
      </x:c>
      <x:c r="F1084" s="35" t="n">
        <x:v>0.2</x:v>
      </x:c>
      <x:c r="G1084" s="37" t="n">
        <x:f>C1084*F1084</x:f>
        <x:v>12.600000000000001</x:v>
      </x:c>
    </x:row>
    <x:row r="1085" ht="15" hidden="0" customHeight="1">
      <x:c r="A1085" s="34" t="str">
        <x:v>STU0099</x:v>
      </x:c>
      <x:c r="B1085" s="35" t="str">
        <x:v>CSE2ALG - Assignment</x:v>
      </x:c>
      <x:c r="C1085" s="35" t="n">
        <x:v>60</x:v>
      </x:c>
      <x:c r="D1085"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1085"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085" s="35" t="n">
        <x:v>0.3</x:v>
      </x:c>
      <x:c r="G1085" s="37" t="n">
        <x:f>C1085*F1085</x:f>
        <x:v>18</x:v>
      </x:c>
    </x:row>
    <x:row r="1086" ht="15" hidden="0" customHeight="1">
      <x:c r="A1086" s="34" t="str">
        <x:v>STU0099</x:v>
      </x:c>
      <x:c r="B1086" s="35" t="str">
        <x:v>CSE2ALG - Central examination</x:v>
      </x:c>
      <x:c r="C1086" s="35" t="n">
        <x:v>63</x:v>
      </x:c>
      <x:c r="D1086" s="36" t="str">
        <x:v>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x:v>
      </x:c>
      <x:c r="E1086"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086" s="35" t="n">
        <x:v>0.5</x:v>
      </x:c>
      <x:c r="G1086" s="37" t="n">
        <x:f>C1086*F1086</x:f>
        <x:v>31.5</x:v>
      </x:c>
    </x:row>
    <x:row r="1087" ht="15" hidden="0" customHeight="1">
      <x:c r="A1087" s="34" t="str">
        <x:v>STU0099</x:v>
      </x:c>
      <x:c r="B1087" s="35" t="str">
        <x:v>CSE3CAP - Oral presentation: Project Milestone Presentation</x:v>
      </x:c>
      <x:c r="C1087" s="35" t="n">
        <x:v>58</x:v>
      </x:c>
      <x:c r="D1087"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087" s="36" t="str">
        <x:v>SILO3: reporting project outcomes to technical and non-technical audiences and reflecting on feedback</x:v>
      </x:c>
      <x:c r="F1087" s="35" t="n">
        <x:v>0.1</x:v>
      </x:c>
      <x:c r="G1087" s="37" t="n">
        <x:f>C1087*F1087</x:f>
        <x:v>5.800000000000001</x:v>
      </x:c>
    </x:row>
    <x:row r="1088" ht="15" hidden="0" customHeight="1">
      <x:c r="A1088" s="34" t="str">
        <x:v>STU0099</x:v>
      </x:c>
      <x:c r="B1088" s="35" t="str">
        <x:v>CSE3CAP - Oral presentation: Final Project Presentation</x:v>
      </x:c>
      <x:c r="C1088" s="35" t="n">
        <x:v>59</x:v>
      </x:c>
      <x:c r="D1088"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088" s="36" t="str">
        <x:v>SILO3: reporting project outcomes to technical and non-technical audiences and reflecting on feedback</x:v>
      </x:c>
      <x:c r="F1088" s="35" t="n">
        <x:v>0.2</x:v>
      </x:c>
      <x:c r="G1088" s="37" t="n">
        <x:f>C1088*F1088</x:f>
        <x:v>11.8</x:v>
      </x:c>
    </x:row>
    <x:row r="1089" ht="15" hidden="0" customHeight="1">
      <x:c r="A1089" s="34" t="str">
        <x:v>STU0099</x:v>
      </x:c>
      <x:c r="B1089" s="35" t="str">
        <x:v>CSE3CAP - Assignment: Final written Project Report</x:v>
      </x:c>
      <x:c r="C1089" s="35" t="n">
        <x:v>59</x:v>
      </x:c>
      <x:c r="D1089"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1089" s="36" t="str">
        <x:v>SILO2: industry standard technical solutions in software or cybersecurity practice; SILO4: professional system documentation and advanced technical reporting to industry standards</x:v>
      </x:c>
      <x:c r="F1089" s="35" t="n">
        <x:v>0.35</x:v>
      </x:c>
      <x:c r="G1089" s="37" t="n">
        <x:f>C1089*F1089</x:f>
        <x:v>20.65</x:v>
      </x:c>
    </x:row>
    <x:row r="1090" ht="15" hidden="0" customHeight="1">
      <x:c r="A1090" s="34" t="str">
        <x:v>STU0099</x:v>
      </x:c>
      <x:c r="B1090" s="35" t="str">
        <x:v>CSE3CAP - Assignment: Sprint Project management reports</x:v>
      </x:c>
      <x:c r="C1090" s="35" t="n">
        <x:v>61</x:v>
      </x:c>
      <x:c r="D1090"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1090" s="36" t="str">
        <x:v>SILO1: advanced project management during substantive development implementation; SILO2: industry standard technical solutions in software or cybersecurity practice</x:v>
      </x:c>
      <x:c r="F1090" s="35" t="n">
        <x:v>0.35</x:v>
      </x:c>
      <x:c r="G1090" s="37" t="n">
        <x:f>C1090*F1090</x:f>
        <x:v>21.349999999999998</x:v>
      </x:c>
    </x:row>
    <x:row r="1091" ht="15" hidden="0" customHeight="1">
      <x:c r="A1091" s="34" t="str">
        <x:v>STU0100</x:v>
      </x:c>
      <x:c r="B1091" s="35" t="str">
        <x:v>CSE1OOF - Test</x:v>
      </x:c>
      <x:c r="C1091" s="35" t="n">
        <x:v>57</x:v>
      </x:c>
      <x:c r="D1091"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1091" s="36" t="str">
        <x:v>SILO1: analysis/design/implementation compared with object-oriented modelling using objects that combine data structure and behaviour; SILO2: abstract data types and encapsulation to localise and minimise change</x:v>
      </x:c>
      <x:c r="F1091" s="35" t="n">
        <x:v>0.15</x:v>
      </x:c>
      <x:c r="G1091" s="37" t="n">
        <x:f>C1091*F1091</x:f>
        <x:v>8.549999999999999</x:v>
      </x:c>
    </x:row>
    <x:row r="1092" ht="15" hidden="0" customHeight="1">
      <x:c r="A1092" s="34" t="str">
        <x:v>STU0100</x:v>
      </x:c>
      <x:c r="B1092" s="35" t="str">
        <x:v>CSE1OOF - Practical demonstration</x:v>
      </x:c>
      <x:c r="C1092" s="35" t="n">
        <x:v>61</x:v>
      </x:c>
      <x:c r="D1092"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092" s="36" t="str">
        <x:v>SILO2: abstract data types and encapsulation to localise and minimise change; SILO3: code sharing and reuse through object-oriented techniques to reduce development time; SILO4: object-oriented design and implementation of computer programs for real-life problems</x:v>
      </x:c>
      <x:c r="F1092" s="35" t="n">
        <x:v>0.2</x:v>
      </x:c>
      <x:c r="G1092" s="37" t="n">
        <x:f>C1092*F1092</x:f>
        <x:v>12.200000000000001</x:v>
      </x:c>
    </x:row>
    <x:row r="1093" ht="15" hidden="0" customHeight="1">
      <x:c r="A1093" s="34" t="str">
        <x:v>STU0100</x:v>
      </x:c>
      <x:c r="B1093" s="35" t="str">
        <x:v>CSE1OOF - Assignment</x:v>
      </x:c>
      <x:c r="C1093" s="35" t="n">
        <x:v>57</x:v>
      </x:c>
      <x:c r="D1093"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093" s="36" t="str">
        <x:v>SILO2: abstract data types and encapsulation to localise and minimise change; SILO3: code sharing and reuse through object-oriented techniques to reduce development time; SILO4: object-oriented design and implementation of computer programs for real-life problems</x:v>
      </x:c>
      <x:c r="F1093" s="35" t="n">
        <x:v>0.25</x:v>
      </x:c>
      <x:c r="G1093" s="37" t="n">
        <x:f>C1093*F1093</x:f>
        <x:v>14.25</x:v>
      </x:c>
    </x:row>
    <x:row r="1094" ht="15" hidden="0" customHeight="1">
      <x:c r="A1094" s="34" t="str">
        <x:v>STU0100</x:v>
      </x:c>
      <x:c r="B1094" s="35" t="str">
        <x:v>CSE1OOF - Central examination</x:v>
      </x:c>
      <x:c r="C1094" s="35" t="n">
        <x:v>59</x:v>
      </x:c>
      <x:c r="D1094" s="36" t="str">
        <x:v>This developing result meets the core requirements but needs greater consistency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Future work should focus on consolidating the underlying concepts, applying them more consistently and explaining design or implementation decisions with stronger evidence.</x:v>
      </x:c>
      <x:c r="E1094"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094" s="35" t="n">
        <x:v>0.4</x:v>
      </x:c>
      <x:c r="G1094" s="37" t="n">
        <x:f>C1094*F1094</x:f>
        <x:v>23.6</x:v>
      </x:c>
    </x:row>
    <x:row r="1095" ht="15" hidden="0" customHeight="1">
      <x:c r="A1095" s="34" t="str">
        <x:v>STU0100</x:v>
      </x:c>
      <x:c r="B1095" s="35" t="str">
        <x:v>CSE2ALG - Test</x:v>
      </x:c>
      <x:c r="C1095" s="35" t="n">
        <x:v>60</x:v>
      </x:c>
      <x:c r="D1095"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1095" s="36" t="str">
        <x:v>SILO1: overall objectives of Algorithms and Data Structures; SILO2: identifying data structures and searching and sorting algorithms in computing contexts; SILO3: implementing data structures and searching and sorting algorithms in Java</x:v>
      </x:c>
      <x:c r="F1095" s="35" t="n">
        <x:v>0.2</x:v>
      </x:c>
      <x:c r="G1095" s="37" t="n">
        <x:f>C1095*F1095</x:f>
        <x:v>12</x:v>
      </x:c>
    </x:row>
    <x:row r="1096" ht="15" hidden="0" customHeight="1">
      <x:c r="A1096" s="34" t="str">
        <x:v>STU0100</x:v>
      </x:c>
      <x:c r="B1096" s="35" t="str">
        <x:v>CSE2ALG - Assignment</x:v>
      </x:c>
      <x:c r="C1096" s="35" t="n">
        <x:v>59</x:v>
      </x:c>
      <x:c r="D1096"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1096"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096" s="35" t="n">
        <x:v>0.3</x:v>
      </x:c>
      <x:c r="G1096" s="37" t="n">
        <x:f>C1096*F1096</x:f>
        <x:v>17.7</x:v>
      </x:c>
    </x:row>
    <x:row r="1097" ht="15" hidden="0" customHeight="1">
      <x:c r="A1097" s="34" t="str">
        <x:v>STU0100</x:v>
      </x:c>
      <x:c r="B1097" s="35" t="str">
        <x:v>CSE2ALG - Central examination</x:v>
      </x:c>
      <x:c r="C1097" s="35" t="n">
        <x:v>60</x:v>
      </x:c>
      <x:c r="D1097" s="36" t="str">
        <x:v>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x:v>
      </x:c>
      <x:c r="E1097"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097" s="35" t="n">
        <x:v>0.5</x:v>
      </x:c>
      <x:c r="G1097" s="37" t="n">
        <x:f>C1097*F1097</x:f>
        <x:v>30</x:v>
      </x:c>
    </x:row>
    <x:row r="1098" ht="15" hidden="0" customHeight="1">
      <x:c r="A1098" s="34" t="str">
        <x:v>STU0100</x:v>
      </x:c>
      <x:c r="B1098" s="35" t="str">
        <x:v>CSE3CAP - Oral presentation: Project Milestone Presentation</x:v>
      </x:c>
      <x:c r="C1098" s="35" t="n">
        <x:v>58</x:v>
      </x:c>
      <x:c r="D1098"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098" s="36" t="str">
        <x:v>SILO3: reporting project outcomes to technical and non-technical audiences and reflecting on feedback</x:v>
      </x:c>
      <x:c r="F1098" s="35" t="n">
        <x:v>0.1</x:v>
      </x:c>
      <x:c r="G1098" s="37" t="n">
        <x:f>C1098*F1098</x:f>
        <x:v>5.800000000000001</x:v>
      </x:c>
    </x:row>
    <x:row r="1099" ht="15" hidden="0" customHeight="1">
      <x:c r="A1099" s="34" t="str">
        <x:v>STU0100</x:v>
      </x:c>
      <x:c r="B1099" s="35" t="str">
        <x:v>CSE3CAP - Oral presentation: Final Project Presentation</x:v>
      </x:c>
      <x:c r="C1099" s="35" t="n">
        <x:v>58</x:v>
      </x:c>
      <x:c r="D1099"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099" s="36" t="str">
        <x:v>SILO3: reporting project outcomes to technical and non-technical audiences and reflecting on feedback</x:v>
      </x:c>
      <x:c r="F1099" s="35" t="n">
        <x:v>0.2</x:v>
      </x:c>
      <x:c r="G1099" s="37" t="n">
        <x:f>C1099*F1099</x:f>
        <x:v>11.600000000000001</x:v>
      </x:c>
    </x:row>
    <x:row r="1100" ht="15" hidden="0" customHeight="1">
      <x:c r="A1100" s="34" t="str">
        <x:v>STU0100</x:v>
      </x:c>
      <x:c r="B1100" s="35" t="str">
        <x:v>CSE3CAP - Assignment: Final written Project Report</x:v>
      </x:c>
      <x:c r="C1100" s="35" t="n">
        <x:v>58</x:v>
      </x:c>
      <x:c r="D1100"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1100" s="36" t="str">
        <x:v>SILO2: industry standard technical solutions in software or cybersecurity practice; SILO4: professional system documentation and advanced technical reporting to industry standards</x:v>
      </x:c>
      <x:c r="F1100" s="35" t="n">
        <x:v>0.35</x:v>
      </x:c>
      <x:c r="G1100" s="37" t="n">
        <x:f>C1100*F1100</x:f>
        <x:v>20.299999999999997</x:v>
      </x:c>
    </x:row>
    <x:row r="1101" ht="15" hidden="0" customHeight="1">
      <x:c r="A1101" s="34" t="str">
        <x:v>STU0100</x:v>
      </x:c>
      <x:c r="B1101" s="35" t="str">
        <x:v>CSE3CAP - Assignment: Sprint Project management reports</x:v>
      </x:c>
      <x:c r="C1101" s="35" t="n">
        <x:v>57</x:v>
      </x:c>
      <x:c r="D1101"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1101" s="36" t="str">
        <x:v>SILO1: advanced project management during substantive development implementation; SILO2: industry standard technical solutions in software or cybersecurity practice</x:v>
      </x:c>
      <x:c r="F1101" s="35" t="n">
        <x:v>0.35</x:v>
      </x:c>
      <x:c r="G1101" s="37" t="n">
        <x:f>C1101*F1101</x:f>
        <x:v>19.95</x:v>
      </x:c>
    </x:row>
    <x:row r="1102" ht="15" hidden="0" customHeight="1">
      <x:c r="A1102" s="34" t="str">
        <x:v>STU0101</x:v>
      </x:c>
      <x:c r="B1102" s="35" t="str">
        <x:v>CSE1OOF - Test</x:v>
      </x:c>
      <x:c r="C1102" s="35" t="n">
        <x:v>65</x:v>
      </x:c>
      <x:c r="D1102"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1102" s="36" t="str">
        <x:v>SILO1: analysis/design/implementation compared with object-oriented modelling using objects that combine data structure and behaviour; SILO2: abstract data types and encapsulation to localise and minimise change</x:v>
      </x:c>
      <x:c r="F1102" s="35" t="n">
        <x:v>0.15</x:v>
      </x:c>
      <x:c r="G1102" s="37" t="n">
        <x:f>C1102*F1102</x:f>
        <x:v>9.75</x:v>
      </x:c>
    </x:row>
    <x:row r="1103" ht="15" hidden="0" customHeight="1">
      <x:c r="A1103" s="34" t="str">
        <x:v>STU0101</x:v>
      </x:c>
      <x:c r="B1103" s="35" t="str">
        <x:v>CSE1OOF - Practical demonstration</x:v>
      </x:c>
      <x:c r="C1103" s="35" t="n">
        <x:v>64</x:v>
      </x:c>
      <x:c r="D1103"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103" s="36" t="str">
        <x:v>SILO2: abstract data types and encapsulation to localise and minimise change; SILO3: code sharing and reuse through object-oriented techniques to reduce development time; SILO4: object-oriented design and implementation of computer programs for real-life problems</x:v>
      </x:c>
      <x:c r="F1103" s="35" t="n">
        <x:v>0.2</x:v>
      </x:c>
      <x:c r="G1103" s="37" t="n">
        <x:f>C1103*F1103</x:f>
        <x:v>12.8</x:v>
      </x:c>
    </x:row>
    <x:row r="1104" ht="15" hidden="0" customHeight="1">
      <x:c r="A1104" s="34" t="str">
        <x:v>STU0101</x:v>
      </x:c>
      <x:c r="B1104" s="35" t="str">
        <x:v>CSE1OOF - Assignment</x:v>
      </x:c>
      <x:c r="C1104" s="35" t="n">
        <x:v>62</x:v>
      </x:c>
      <x:c r="D1104"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104" s="36" t="str">
        <x:v>SILO2: abstract data types and encapsulation to localise and minimise change; SILO3: code sharing and reuse through object-oriented techniques to reduce development time; SILO4: object-oriented design and implementation of computer programs for real-life problems</x:v>
      </x:c>
      <x:c r="F1104" s="35" t="n">
        <x:v>0.25</x:v>
      </x:c>
      <x:c r="G1104" s="37" t="n">
        <x:f>C1104*F1104</x:f>
        <x:v>15.5</x:v>
      </x:c>
    </x:row>
    <x:row r="1105" ht="15" hidden="0" customHeight="1">
      <x:c r="A1105" s="34" t="str">
        <x:v>STU0101</x:v>
      </x:c>
      <x:c r="B1105" s="35" t="str">
        <x:v>CSE1OOF - Central examination</x:v>
      </x:c>
      <x:c r="C1105" s="35" t="n">
        <x:v>64</x:v>
      </x:c>
      <x:c r="D1105" s="36" t="str">
        <x:v>This developing result meets the core requirements but needs greater consistency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Future work should focus on consolidating the underlying concepts, applying them more consistently and explaining design or implementation decisions with stronger evidence.</x:v>
      </x:c>
      <x:c r="E1105"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105" s="35" t="n">
        <x:v>0.4</x:v>
      </x:c>
      <x:c r="G1105" s="37" t="n">
        <x:f>C1105*F1105</x:f>
        <x:v>25.6</x:v>
      </x:c>
    </x:row>
    <x:row r="1106" ht="15" hidden="0" customHeight="1">
      <x:c r="A1106" s="34" t="str">
        <x:v>STU0101</x:v>
      </x:c>
      <x:c r="B1106" s="35" t="str">
        <x:v>CSE2ALG - Test</x:v>
      </x:c>
      <x:c r="C1106" s="35" t="n">
        <x:v>69</x:v>
      </x:c>
      <x:c r="D1106"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1106" s="36" t="str">
        <x:v>SILO1: overall objectives of Algorithms and Data Structures; SILO2: identifying data structures and searching and sorting algorithms in computing contexts; SILO3: implementing data structures and searching and sorting algorithms in Java</x:v>
      </x:c>
      <x:c r="F1106" s="35" t="n">
        <x:v>0.2</x:v>
      </x:c>
      <x:c r="G1106" s="37" t="n">
        <x:f>C1106*F1106</x:f>
        <x:v>13.8</x:v>
      </x:c>
    </x:row>
    <x:row r="1107" ht="15" hidden="0" customHeight="1">
      <x:c r="A1107" s="34" t="str">
        <x:v>STU0101</x:v>
      </x:c>
      <x:c r="B1107" s="35" t="str">
        <x:v>CSE2ALG - Assignment</x:v>
      </x:c>
      <x:c r="C1107" s="35" t="n">
        <x:v>68</x:v>
      </x:c>
      <x:c r="D1107" s="36" t="str">
        <x:v>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x:v>
      </x:c>
      <x:c r="E1107"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107" s="35" t="n">
        <x:v>0.3</x:v>
      </x:c>
      <x:c r="G1107" s="37" t="n">
        <x:f>C1107*F1107</x:f>
        <x:v>20.4</x:v>
      </x:c>
    </x:row>
    <x:row r="1108" ht="15" hidden="0" customHeight="1">
      <x:c r="A1108" s="34" t="str">
        <x:v>STU0101</x:v>
      </x:c>
      <x:c r="B1108" s="35" t="str">
        <x:v>CSE2ALG - Central examination</x:v>
      </x:c>
      <x:c r="C1108" s="35" t="n">
        <x:v>67</x:v>
      </x:c>
      <x:c r="D1108"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1108"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108" s="35" t="n">
        <x:v>0.5</x:v>
      </x:c>
      <x:c r="G1108" s="37" t="n">
        <x:f>C1108*F1108</x:f>
        <x:v>33.5</x:v>
      </x:c>
    </x:row>
    <x:row r="1109" ht="15" hidden="0" customHeight="1">
      <x:c r="A1109" s="34" t="str">
        <x:v>STU0101</x:v>
      </x:c>
      <x:c r="B1109" s="35" t="str">
        <x:v>CSE3CAP - Oral presentation: Project Milestone Presentation</x:v>
      </x:c>
      <x:c r="C1109" s="35" t="n">
        <x:v>60</x:v>
      </x:c>
      <x:c r="D1109"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109" s="36" t="str">
        <x:v>SILO3: reporting project outcomes to technical and non-technical audiences and reflecting on feedback</x:v>
      </x:c>
      <x:c r="F1109" s="35" t="n">
        <x:v>0.1</x:v>
      </x:c>
      <x:c r="G1109" s="37" t="n">
        <x:f>C1109*F1109</x:f>
        <x:v>6</x:v>
      </x:c>
    </x:row>
    <x:row r="1110" ht="15" hidden="0" customHeight="1">
      <x:c r="A1110" s="34" t="str">
        <x:v>STU0101</x:v>
      </x:c>
      <x:c r="B1110" s="35" t="str">
        <x:v>CSE3CAP - Oral presentation: Final Project Presentation</x:v>
      </x:c>
      <x:c r="C1110" s="35" t="n">
        <x:v>60</x:v>
      </x:c>
      <x:c r="D1110"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110" s="36" t="str">
        <x:v>SILO3: reporting project outcomes to technical and non-technical audiences and reflecting on feedback</x:v>
      </x:c>
      <x:c r="F1110" s="35" t="n">
        <x:v>0.2</x:v>
      </x:c>
      <x:c r="G1110" s="37" t="n">
        <x:f>C1110*F1110</x:f>
        <x:v>12</x:v>
      </x:c>
    </x:row>
    <x:row r="1111" ht="15" hidden="0" customHeight="1">
      <x:c r="A1111" s="34" t="str">
        <x:v>STU0101</x:v>
      </x:c>
      <x:c r="B1111" s="35" t="str">
        <x:v>CSE3CAP - Assignment: Final written Project Report</x:v>
      </x:c>
      <x:c r="C1111" s="35" t="n">
        <x:v>62</x:v>
      </x:c>
      <x:c r="D1111"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1111" s="36" t="str">
        <x:v>SILO2: industry standard technical solutions in software or cybersecurity practice; SILO4: professional system documentation and advanced technical reporting to industry standards</x:v>
      </x:c>
      <x:c r="F1111" s="35" t="n">
        <x:v>0.35</x:v>
      </x:c>
      <x:c r="G1111" s="37" t="n">
        <x:f>C1111*F1111</x:f>
        <x:v>21.7</x:v>
      </x:c>
    </x:row>
    <x:row r="1112" ht="15" hidden="0" customHeight="1">
      <x:c r="A1112" s="34" t="str">
        <x:v>STU0101</x:v>
      </x:c>
      <x:c r="B1112" s="35" t="str">
        <x:v>CSE3CAP - Assignment: Sprint Project management reports</x:v>
      </x:c>
      <x:c r="C1112" s="35" t="n">
        <x:v>62</x:v>
      </x:c>
      <x:c r="D1112"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1112" s="36" t="str">
        <x:v>SILO1: advanced project management during substantive development implementation; SILO2: industry standard technical solutions in software or cybersecurity practice</x:v>
      </x:c>
      <x:c r="F1112" s="35" t="n">
        <x:v>0.35</x:v>
      </x:c>
      <x:c r="G1112" s="37" t="n">
        <x:f>C1112*F1112</x:f>
        <x:v>21.7</x:v>
      </x:c>
    </x:row>
    <x:row r="1113" ht="15" hidden="0" customHeight="1">
      <x:c r="A1113" s="34" t="str">
        <x:v>STU0102</x:v>
      </x:c>
      <x:c r="B1113" s="35" t="str">
        <x:v>CSE1OOF - Test</x:v>
      </x:c>
      <x:c r="C1113" s="35" t="n">
        <x:v>83</x:v>
      </x:c>
      <x:c r="D1113" s="36" t="str">
        <x:v>This strong result shows well-developed understanding of the relevant learning themes, particularly analysis/design/implementation compared with object-oriented modelling using objects that combine data structure and behaviour and abstract data types and encapsulation to localise and minimise change. Further improvement would come from deeper justification, more consistent evaluation evidence and tighter links between decisions and implementation details.</x:v>
      </x:c>
      <x:c r="E1113" s="36" t="str">
        <x:v>SILO1: analysis/design/implementation compared with object-oriented modelling using objects that combine data structure and behaviour; SILO2: abstract data types and encapsulation to localise and minimise change</x:v>
      </x:c>
      <x:c r="F1113" s="35" t="n">
        <x:v>0.15</x:v>
      </x:c>
      <x:c r="G1113" s="37" t="n">
        <x:f>C1113*F1113</x:f>
        <x:v>12.45</x:v>
      </x:c>
    </x:row>
    <x:row r="1114" ht="15" hidden="0" customHeight="1">
      <x:c r="A1114" s="34" t="str">
        <x:v>STU0102</x:v>
      </x:c>
      <x:c r="B1114" s="35" t="str">
        <x:v>CSE1OOF - Practical demonstration</x:v>
      </x:c>
      <x:c r="C1114" s="35" t="n">
        <x:v>87</x:v>
      </x:c>
      <x:c r="D1114" s="36" t="str">
        <x:v>This excellent result demonstrates confident and independent command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work is clear, accurate and well justified, with only minor opportunities to further polish explanation or evaluation.</x:v>
      </x:c>
      <x:c r="E1114" s="36" t="str">
        <x:v>SILO2: abstract data types and encapsulation to localise and minimise change; SILO3: code sharing and reuse through object-oriented techniques to reduce development time; SILO4: object-oriented design and implementation of computer programs for real-life problems</x:v>
      </x:c>
      <x:c r="F1114" s="35" t="n">
        <x:v>0.2</x:v>
      </x:c>
      <x:c r="G1114" s="37" t="n">
        <x:f>C1114*F1114</x:f>
        <x:v>17.400000000000002</x:v>
      </x:c>
    </x:row>
    <x:row r="1115" ht="15" hidden="0" customHeight="1">
      <x:c r="A1115" s="34" t="str">
        <x:v>STU0102</x:v>
      </x:c>
      <x:c r="B1115" s="35" t="str">
        <x:v>CSE1OOF - Assignment</x:v>
      </x:c>
      <x:c r="C1115" s="35" t="n">
        <x:v>86</x:v>
      </x:c>
      <x:c r="D1115" s="36" t="str">
        <x:v>This excellent result demonstrates confident and independent command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work is clear, accurate and well justified, with only minor opportunities to further polish explanation or evaluation.</x:v>
      </x:c>
      <x:c r="E1115" s="36" t="str">
        <x:v>SILO2: abstract data types and encapsulation to localise and minimise change; SILO3: code sharing and reuse through object-oriented techniques to reduce development time; SILO4: object-oriented design and implementation of computer programs for real-life problems</x:v>
      </x:c>
      <x:c r="F1115" s="35" t="n">
        <x:v>0.25</x:v>
      </x:c>
      <x:c r="G1115" s="37" t="n">
        <x:f>C1115*F1115</x:f>
        <x:v>21.5</x:v>
      </x:c>
    </x:row>
    <x:row r="1116" ht="15" hidden="0" customHeight="1">
      <x:c r="A1116" s="34" t="str">
        <x:v>STU0102</x:v>
      </x:c>
      <x:c r="B1116" s="35" t="str">
        <x:v>CSE1OOF - Central examination</x:v>
      </x:c>
      <x:c r="C1116" s="35" t="n">
        <x:v>83</x:v>
      </x:c>
      <x:c r="D1116" s="36" t="str">
        <x:v>This strong result shows well-developed understanding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Further improvement would come from deeper justification, more consistent evaluation evidence and tighter links between decisions and implementation details.</x:v>
      </x:c>
      <x:c r="E1116"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116" s="35" t="n">
        <x:v>0.4</x:v>
      </x:c>
      <x:c r="G1116" s="37" t="n">
        <x:f>C1116*F1116</x:f>
        <x:v>33.2</x:v>
      </x:c>
    </x:row>
    <x:row r="1117" ht="15" hidden="0" customHeight="1">
      <x:c r="A1117" s="34" t="str">
        <x:v>STU0102</x:v>
      </x:c>
      <x:c r="B1117" s="35" t="str">
        <x:v>CSE2ALG - Test</x:v>
      </x:c>
      <x:c r="C1117" s="35" t="n">
        <x:v>90</x:v>
      </x:c>
      <x:c r="D1117" s="36" t="str">
        <x:v>This excellent result demonstrates confident and independent command of the relevant learning themes, particularly overall objectives of Algorithms and Data Structures, identifying data structures and searching and sorting algorithms in computing contexts, and implementing data structures and searching and sorting algorithms in Java. The work is clear, accurate and well justified, with only minor opportunities to further polish explanation or evaluation.</x:v>
      </x:c>
      <x:c r="E1117" s="36" t="str">
        <x:v>SILO1: overall objectives of Algorithms and Data Structures; SILO2: identifying data structures and searching and sorting algorithms in computing contexts; SILO3: implementing data structures and searching and sorting algorithms in Java</x:v>
      </x:c>
      <x:c r="F1117" s="35" t="n">
        <x:v>0.2</x:v>
      </x:c>
      <x:c r="G1117" s="37" t="n">
        <x:f>C1117*F1117</x:f>
        <x:v>18</x:v>
      </x:c>
    </x:row>
    <x:row r="1118" ht="15" hidden="0" customHeight="1">
      <x:c r="A1118" s="34" t="str">
        <x:v>STU0102</x:v>
      </x:c>
      <x:c r="B1118" s="35" t="str">
        <x:v>CSE2ALG - Assignment</x:v>
      </x:c>
      <x:c r="C1118" s="35" t="n">
        <x:v>90</x:v>
      </x:c>
      <x:c r="D1118" s="36" t="str">
        <x:v>This excellent result demonstrates confident and independent command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The work is clear, accurate and well justified, with only minor opportunities to further polish explanation or evaluation.</x:v>
      </x:c>
      <x:c r="E1118"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118" s="35" t="n">
        <x:v>0.3</x:v>
      </x:c>
      <x:c r="G1118" s="37" t="n">
        <x:f>C1118*F1118</x:f>
        <x:v>27</x:v>
      </x:c>
    </x:row>
    <x:row r="1119" ht="15" hidden="0" customHeight="1">
      <x:c r="A1119" s="34" t="str">
        <x:v>STU0102</x:v>
      </x:c>
      <x:c r="B1119" s="35" t="str">
        <x:v>CSE2ALG - Central examination</x:v>
      </x:c>
      <x:c r="C1119" s="35" t="n">
        <x:v>87</x:v>
      </x:c>
      <x:c r="D1119" s="36" t="str">
        <x:v>This excellent result demonstrates confident and independent command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The work is clear, accurate and well justified, with only minor opportunities to further polish explanation or evaluation.</x:v>
      </x:c>
      <x:c r="E1119"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119" s="35" t="n">
        <x:v>0.5</x:v>
      </x:c>
      <x:c r="G1119" s="37" t="n">
        <x:f>C1119*F1119</x:f>
        <x:v>43.5</x:v>
      </x:c>
    </x:row>
    <x:row r="1120" ht="15" hidden="0" customHeight="1">
      <x:c r="A1120" s="34" t="str">
        <x:v>STU0102</x:v>
      </x:c>
      <x:c r="B1120" s="35" t="str">
        <x:v>CSE3CAP - Oral presentation: Project Milestone Presentation</x:v>
      </x:c>
      <x:c r="C1120" s="35" t="n">
        <x:v>89</x:v>
      </x:c>
      <x:c r="D1120" s="36" t="str">
        <x:v>This excellent result demonstrates confident and independent command of the relevant learning themes, particularly reporting project outcomes to technical and non-technical audiences and reflecting on feedback. The work is clear, accurate and well justified, with only minor opportunities to further polish explanation or evaluation.</x:v>
      </x:c>
      <x:c r="E1120" s="36" t="str">
        <x:v>SILO3: reporting project outcomes to technical and non-technical audiences and reflecting on feedback</x:v>
      </x:c>
      <x:c r="F1120" s="35" t="n">
        <x:v>0.1</x:v>
      </x:c>
      <x:c r="G1120" s="37" t="n">
        <x:f>C1120*F1120</x:f>
        <x:v>8.9</x:v>
      </x:c>
    </x:row>
    <x:row r="1121" ht="15" hidden="0" customHeight="1">
      <x:c r="A1121" s="34" t="str">
        <x:v>STU0102</x:v>
      </x:c>
      <x:c r="B1121" s="35" t="str">
        <x:v>CSE3CAP - Oral presentation: Final Project Presentation</x:v>
      </x:c>
      <x:c r="C1121" s="35" t="n">
        <x:v>84</x:v>
      </x:c>
      <x:c r="D1121"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1121" s="36" t="str">
        <x:v>SILO3: reporting project outcomes to technical and non-technical audiences and reflecting on feedback</x:v>
      </x:c>
      <x:c r="F1121" s="35" t="n">
        <x:v>0.2</x:v>
      </x:c>
      <x:c r="G1121" s="37" t="n">
        <x:f>C1121*F1121</x:f>
        <x:v>16.8</x:v>
      </x:c>
    </x:row>
    <x:row r="1122" ht="15" hidden="0" customHeight="1">
      <x:c r="A1122" s="34" t="str">
        <x:v>STU0102</x:v>
      </x:c>
      <x:c r="B1122" s="35" t="str">
        <x:v>CSE3CAP - Assignment: Final written Project Report</x:v>
      </x:c>
      <x:c r="C1122" s="35" t="n">
        <x:v>89</x:v>
      </x:c>
      <x:c r="D1122" s="36" t="str">
        <x:v>This excellent result demonstrates confident and independent command of the relevant learning themes, particularly industry standard technical solutions in software or cybersecurity practice and professional system documentation and advanced technical reporting to industry standards. The work is clear, accurate and well justified, with only minor opportunities to further polish explanation or evaluation.</x:v>
      </x:c>
      <x:c r="E1122" s="36" t="str">
        <x:v>SILO2: industry standard technical solutions in software or cybersecurity practice; SILO4: professional system documentation and advanced technical reporting to industry standards</x:v>
      </x:c>
      <x:c r="F1122" s="35" t="n">
        <x:v>0.35</x:v>
      </x:c>
      <x:c r="G1122" s="37" t="n">
        <x:f>C1122*F1122</x:f>
        <x:v>31.15</x:v>
      </x:c>
    </x:row>
    <x:row r="1123" ht="15" hidden="0" customHeight="1">
      <x:c r="A1123" s="34" t="str">
        <x:v>STU0102</x:v>
      </x:c>
      <x:c r="B1123" s="35" t="str">
        <x:v>CSE3CAP - Assignment: Sprint Project management reports</x:v>
      </x:c>
      <x:c r="C1123" s="35" t="n">
        <x:v>85</x:v>
      </x:c>
      <x:c r="D1123" s="36" t="str">
        <x:v>This excellent result demonstrates confident and independent command of the relevant learning themes, particularly advanced project management during substantive development implementation and industry standard technical solutions in software or cybersecurity practice. The work is clear, accurate and well justified, with only minor opportunities to further polish explanation or evaluation.</x:v>
      </x:c>
      <x:c r="E1123" s="36" t="str">
        <x:v>SILO1: advanced project management during substantive development implementation; SILO2: industry standard technical solutions in software or cybersecurity practice</x:v>
      </x:c>
      <x:c r="F1123" s="35" t="n">
        <x:v>0.35</x:v>
      </x:c>
      <x:c r="G1123" s="37" t="n">
        <x:f>C1123*F1123</x:f>
        <x:v>29.749999999999996</x:v>
      </x:c>
    </x:row>
    <x:row r="1124" ht="15" hidden="0" customHeight="1">
      <x:c r="A1124" s="34" t="str">
        <x:v>STU0103</x:v>
      </x:c>
      <x:c r="B1124" s="35" t="str">
        <x:v>CSE1OOF - Test</x:v>
      </x:c>
      <x:c r="C1124" s="35" t="n">
        <x:v>75</x:v>
      </x:c>
      <x:c r="D1124" s="36" t="str">
        <x:v>This strong result shows well-developed understanding of the relevant learning themes, particularly analysis/design/implementation compared with object-oriented modelling using objects that combine data structure and behaviour and abstract data types and encapsulation to localise and minimise change. Further improvement would come from deeper justification, more consistent evaluation evidence and tighter links between decisions and implementation details.</x:v>
      </x:c>
      <x:c r="E1124" s="36" t="str">
        <x:v>SILO1: analysis/design/implementation compared with object-oriented modelling using objects that combine data structure and behaviour; SILO2: abstract data types and encapsulation to localise and minimise change</x:v>
      </x:c>
      <x:c r="F1124" s="35" t="n">
        <x:v>0.15</x:v>
      </x:c>
      <x:c r="G1124" s="37" t="n">
        <x:f>C1124*F1124</x:f>
        <x:v>11.25</x:v>
      </x:c>
    </x:row>
    <x:row r="1125" ht="15" hidden="0" customHeight="1">
      <x:c r="A1125" s="34" t="str">
        <x:v>STU0103</x:v>
      </x:c>
      <x:c r="B1125" s="35" t="str">
        <x:v>CSE1OOF - Practical demonstration</x:v>
      </x:c>
      <x:c r="C1125" s="35" t="n">
        <x:v>76</x:v>
      </x:c>
      <x:c r="D1125"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1125" s="36" t="str">
        <x:v>SILO2: abstract data types and encapsulation to localise and minimise change; SILO3: code sharing and reuse through object-oriented techniques to reduce development time; SILO4: object-oriented design and implementation of computer programs for real-life problems</x:v>
      </x:c>
      <x:c r="F1125" s="35" t="n">
        <x:v>0.2</x:v>
      </x:c>
      <x:c r="G1125" s="37" t="n">
        <x:f>C1125*F1125</x:f>
        <x:v>15.200000000000001</x:v>
      </x:c>
    </x:row>
    <x:row r="1126" ht="15" hidden="0" customHeight="1">
      <x:c r="A1126" s="34" t="str">
        <x:v>STU0103</x:v>
      </x:c>
      <x:c r="B1126" s="35" t="str">
        <x:v>CSE1OOF - Assignment</x:v>
      </x:c>
      <x:c r="C1126" s="35" t="n">
        <x:v>75</x:v>
      </x:c>
      <x:c r="D1126"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1126" s="36" t="str">
        <x:v>SILO2: abstract data types and encapsulation to localise and minimise change; SILO3: code sharing and reuse through object-oriented techniques to reduce development time; SILO4: object-oriented design and implementation of computer programs for real-life problems</x:v>
      </x:c>
      <x:c r="F1126" s="35" t="n">
        <x:v>0.25</x:v>
      </x:c>
      <x:c r="G1126" s="37" t="n">
        <x:f>C1126*F1126</x:f>
        <x:v>18.75</x:v>
      </x:c>
    </x:row>
    <x:row r="1127" ht="15" hidden="0" customHeight="1">
      <x:c r="A1127" s="34" t="str">
        <x:v>STU0103</x:v>
      </x:c>
      <x:c r="B1127" s="35" t="str">
        <x:v>CSE1OOF - Central examination</x:v>
      </x:c>
      <x:c r="C1127" s="35" t="n">
        <x:v>78</x:v>
      </x:c>
      <x:c r="D1127" s="36" t="str">
        <x:v>This strong result shows well-developed understanding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Further improvement would come from deeper justification, more consistent evaluation evidence and tighter links between decisions and implementation details.</x:v>
      </x:c>
      <x:c r="E1127"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127" s="35" t="n">
        <x:v>0.4</x:v>
      </x:c>
      <x:c r="G1127" s="37" t="n">
        <x:f>C1127*F1127</x:f>
        <x:v>31.200000000000003</x:v>
      </x:c>
    </x:row>
    <x:row r="1128" ht="15" hidden="0" customHeight="1">
      <x:c r="A1128" s="34" t="str">
        <x:v>STU0103</x:v>
      </x:c>
      <x:c r="B1128" s="35" t="str">
        <x:v>CSE2ALG - Test</x:v>
      </x:c>
      <x:c r="C1128" s="35" t="n">
        <x:v>78</x:v>
      </x:c>
      <x:c r="D1128" s="36" t="str">
        <x:v>This strong result shows well-developed understanding of the relevant learning themes, particularly overall objectives of Algorithms and Data Structures, identifying data structures and searching and sorting algorithms in computing contexts, and implementing data structures and searching and sorting algorithms in Java. Further improvement would come from deeper justification, more consistent evaluation evidence and tighter links between decisions and implementation details.</x:v>
      </x:c>
      <x:c r="E1128" s="36" t="str">
        <x:v>SILO1: overall objectives of Algorithms and Data Structures; SILO2: identifying data structures and searching and sorting algorithms in computing contexts; SILO3: implementing data structures and searching and sorting algorithms in Java</x:v>
      </x:c>
      <x:c r="F1128" s="35" t="n">
        <x:v>0.2</x:v>
      </x:c>
      <x:c r="G1128" s="37" t="n">
        <x:f>C1128*F1128</x:f>
        <x:v>15.600000000000001</x:v>
      </x:c>
    </x:row>
    <x:row r="1129" ht="15" hidden="0" customHeight="1">
      <x:c r="A1129" s="34" t="str">
        <x:v>STU0103</x:v>
      </x:c>
      <x:c r="B1129" s="35" t="str">
        <x:v>CSE2ALG - Assignment</x:v>
      </x:c>
      <x:c r="C1129" s="35" t="n">
        <x:v>76</x:v>
      </x:c>
      <x:c r="D1129" s="36" t="str">
        <x:v>This strong result shows well-developed understanding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Further improvement would come from deeper justification, more consistent evaluation evidence and tighter links between decisions and implementation details.</x:v>
      </x:c>
      <x:c r="E1129"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129" s="35" t="n">
        <x:v>0.3</x:v>
      </x:c>
      <x:c r="G1129" s="37" t="n">
        <x:f>C1129*F1129</x:f>
        <x:v>22.8</x:v>
      </x:c>
    </x:row>
    <x:row r="1130" ht="15" hidden="0" customHeight="1">
      <x:c r="A1130" s="34" t="str">
        <x:v>STU0103</x:v>
      </x:c>
      <x:c r="B1130" s="35" t="str">
        <x:v>CSE2ALG - Central examination</x:v>
      </x:c>
      <x:c r="C1130" s="35" t="n">
        <x:v>79</x:v>
      </x:c>
      <x:c r="D1130" s="36" t="str">
        <x:v>This strong result shows well-developed understanding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Further improvement would come from deeper justification, more consistent evaluation evidence and tighter links between decisions and implementation details.</x:v>
      </x:c>
      <x:c r="E1130"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130" s="35" t="n">
        <x:v>0.5</x:v>
      </x:c>
      <x:c r="G1130" s="37" t="n">
        <x:f>C1130*F1130</x:f>
        <x:v>39.5</x:v>
      </x:c>
    </x:row>
    <x:row r="1131" ht="15" hidden="0" customHeight="1">
      <x:c r="A1131" s="34" t="str">
        <x:v>STU0103</x:v>
      </x:c>
      <x:c r="B1131" s="35" t="str">
        <x:v>CSE3CAP - Oral presentation: Project Milestone Presentation</x:v>
      </x:c>
      <x:c r="C1131" s="35" t="n">
        <x:v>70</x:v>
      </x:c>
      <x:c r="D1131"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1131" s="36" t="str">
        <x:v>SILO3: reporting project outcomes to technical and non-technical audiences and reflecting on feedback</x:v>
      </x:c>
      <x:c r="F1131" s="35" t="n">
        <x:v>0.1</x:v>
      </x:c>
      <x:c r="G1131" s="37" t="n">
        <x:f>C1131*F1131</x:f>
        <x:v>7</x:v>
      </x:c>
    </x:row>
    <x:row r="1132" ht="15" hidden="0" customHeight="1">
      <x:c r="A1132" s="34" t="str">
        <x:v>STU0103</x:v>
      </x:c>
      <x:c r="B1132" s="35" t="str">
        <x:v>CSE3CAP - Oral presentation: Final Project Presentation</x:v>
      </x:c>
      <x:c r="C1132" s="35" t="n">
        <x:v>73</x:v>
      </x:c>
      <x:c r="D1132"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1132" s="36" t="str">
        <x:v>SILO3: reporting project outcomes to technical and non-technical audiences and reflecting on feedback</x:v>
      </x:c>
      <x:c r="F1132" s="35" t="n">
        <x:v>0.2</x:v>
      </x:c>
      <x:c r="G1132" s="37" t="n">
        <x:f>C1132*F1132</x:f>
        <x:v>14.600000000000001</x:v>
      </x:c>
    </x:row>
    <x:row r="1133" ht="15" hidden="0" customHeight="1">
      <x:c r="A1133" s="34" t="str">
        <x:v>STU0103</x:v>
      </x:c>
      <x:c r="B1133" s="35" t="str">
        <x:v>CSE3CAP - Assignment: Final written Project Report</x:v>
      </x:c>
      <x:c r="C1133" s="35" t="n">
        <x:v>75</x:v>
      </x:c>
      <x:c r="D1133" s="36" t="str">
        <x:v>This strong result shows well-developed understanding of the relevant learning themes, particularly industry standard technical solutions in software or cybersecurity practice and professional system documentation and advanced technical reporting to industry standards. Further improvement would come from deeper justification, more consistent evaluation evidence and tighter links between decisions and implementation details.</x:v>
      </x:c>
      <x:c r="E1133" s="36" t="str">
        <x:v>SILO2: industry standard technical solutions in software or cybersecurity practice; SILO4: professional system documentation and advanced technical reporting to industry standards</x:v>
      </x:c>
      <x:c r="F1133" s="35" t="n">
        <x:v>0.35</x:v>
      </x:c>
      <x:c r="G1133" s="37" t="n">
        <x:f>C1133*F1133</x:f>
        <x:v>26.25</x:v>
      </x:c>
    </x:row>
    <x:row r="1134" ht="15" hidden="0" customHeight="1">
      <x:c r="A1134" s="34" t="str">
        <x:v>STU0103</x:v>
      </x:c>
      <x:c r="B1134" s="35" t="str">
        <x:v>CSE3CAP - Assignment: Sprint Project management reports</x:v>
      </x:c>
      <x:c r="C1134" s="35" t="n">
        <x:v>74</x:v>
      </x:c>
      <x:c r="D1134" s="36" t="str">
        <x:v>This sound result shows a competent and generally reliable grasp of the relevant learning themes, particularly advanced project management during substantive development implementation and industry standard technical solutions in software or cybersecurity practice. To strengthen the result, the student should provide clearer reasoning, improve technical precision and show more complete testing or reflection.</x:v>
      </x:c>
      <x:c r="E1134" s="36" t="str">
        <x:v>SILO1: advanced project management during substantive development implementation; SILO2: industry standard technical solutions in software or cybersecurity practice</x:v>
      </x:c>
      <x:c r="F1134" s="35" t="n">
        <x:v>0.35</x:v>
      </x:c>
      <x:c r="G1134" s="37" t="n">
        <x:f>C1134*F1134</x:f>
        <x:v>25.9</x:v>
      </x:c>
    </x:row>
    <x:row r="1135" ht="15" hidden="0" customHeight="1">
      <x:c r="A1135" s="34" t="str">
        <x:v>STU0104</x:v>
      </x:c>
      <x:c r="B1135" s="35" t="str">
        <x:v>CSE1OOF - Test</x:v>
      </x:c>
      <x:c r="C1135" s="35" t="n">
        <x:v>81</x:v>
      </x:c>
      <x:c r="D1135" s="36" t="str">
        <x:v>This strong result shows well-developed understanding of the relevant learning themes, particularly analysis/design/implementation compared with object-oriented modelling using objects that combine data structure and behaviour and abstract data types and encapsulation to localise and minimise change. Further improvement would come from deeper justification, more consistent evaluation evidence and tighter links between decisions and implementation details.</x:v>
      </x:c>
      <x:c r="E1135" s="36" t="str">
        <x:v>SILO1: analysis/design/implementation compared with object-oriented modelling using objects that combine data structure and behaviour; SILO2: abstract data types and encapsulation to localise and minimise change</x:v>
      </x:c>
      <x:c r="F1135" s="35" t="n">
        <x:v>0.15</x:v>
      </x:c>
      <x:c r="G1135" s="37" t="n">
        <x:f>C1135*F1135</x:f>
        <x:v>12.15</x:v>
      </x:c>
    </x:row>
    <x:row r="1136" ht="15" hidden="0" customHeight="1">
      <x:c r="A1136" s="34" t="str">
        <x:v>STU0104</x:v>
      </x:c>
      <x:c r="B1136" s="35" t="str">
        <x:v>CSE1OOF - Practical demonstration</x:v>
      </x:c>
      <x:c r="C1136" s="35" t="n">
        <x:v>80</x:v>
      </x:c>
      <x:c r="D1136"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1136" s="36" t="str">
        <x:v>SILO2: abstract data types and encapsulation to localise and minimise change; SILO3: code sharing and reuse through object-oriented techniques to reduce development time; SILO4: object-oriented design and implementation of computer programs for real-life problems</x:v>
      </x:c>
      <x:c r="F1136" s="35" t="n">
        <x:v>0.2</x:v>
      </x:c>
      <x:c r="G1136" s="37" t="n">
        <x:f>C1136*F1136</x:f>
        <x:v>16</x:v>
      </x:c>
    </x:row>
    <x:row r="1137" ht="15" hidden="0" customHeight="1">
      <x:c r="A1137" s="34" t="str">
        <x:v>STU0104</x:v>
      </x:c>
      <x:c r="B1137" s="35" t="str">
        <x:v>CSE1OOF - Assignment</x:v>
      </x:c>
      <x:c r="C1137" s="35" t="n">
        <x:v>79</x:v>
      </x:c>
      <x:c r="D1137"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1137" s="36" t="str">
        <x:v>SILO2: abstract data types and encapsulation to localise and minimise change; SILO3: code sharing and reuse through object-oriented techniques to reduce development time; SILO4: object-oriented design and implementation of computer programs for real-life problems</x:v>
      </x:c>
      <x:c r="F1137" s="35" t="n">
        <x:v>0.25</x:v>
      </x:c>
      <x:c r="G1137" s="37" t="n">
        <x:f>C1137*F1137</x:f>
        <x:v>19.75</x:v>
      </x:c>
    </x:row>
    <x:row r="1138" ht="15" hidden="0" customHeight="1">
      <x:c r="A1138" s="34" t="str">
        <x:v>STU0104</x:v>
      </x:c>
      <x:c r="B1138" s="35" t="str">
        <x:v>CSE1OOF - Central examination</x:v>
      </x:c>
      <x:c r="C1138" s="35" t="n">
        <x:v>78</x:v>
      </x:c>
      <x:c r="D1138" s="36" t="str">
        <x:v>This strong result shows well-developed understanding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Further improvement would come from deeper justification, more consistent evaluation evidence and tighter links between decisions and implementation details.</x:v>
      </x:c>
      <x:c r="E1138"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138" s="35" t="n">
        <x:v>0.4</x:v>
      </x:c>
      <x:c r="G1138" s="37" t="n">
        <x:f>C1138*F1138</x:f>
        <x:v>31.200000000000003</x:v>
      </x:c>
    </x:row>
    <x:row r="1139" ht="15" hidden="0" customHeight="1">
      <x:c r="A1139" s="34" t="str">
        <x:v>STU0104</x:v>
      </x:c>
      <x:c r="B1139" s="35" t="str">
        <x:v>CSE2ALG - Test</x:v>
      </x:c>
      <x:c r="C1139" s="35" t="n">
        <x:v>74</x:v>
      </x:c>
      <x:c r="D1139"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1139" s="36" t="str">
        <x:v>SILO1: overall objectives of Algorithms and Data Structures; SILO2: identifying data structures and searching and sorting algorithms in computing contexts; SILO3: implementing data structures and searching and sorting algorithms in Java</x:v>
      </x:c>
      <x:c r="F1139" s="35" t="n">
        <x:v>0.2</x:v>
      </x:c>
      <x:c r="G1139" s="37" t="n">
        <x:f>C1139*F1139</x:f>
        <x:v>14.8</x:v>
      </x:c>
    </x:row>
    <x:row r="1140" ht="15" hidden="0" customHeight="1">
      <x:c r="A1140" s="34" t="str">
        <x:v>STU0104</x:v>
      </x:c>
      <x:c r="B1140" s="35" t="str">
        <x:v>CSE2ALG - Assignment</x:v>
      </x:c>
      <x:c r="C1140" s="35" t="n">
        <x:v>75</x:v>
      </x:c>
      <x:c r="D1140" s="36" t="str">
        <x:v>This strong result shows well-developed understanding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Further improvement would come from deeper justification, more consistent evaluation evidence and tighter links between decisions and implementation details.</x:v>
      </x:c>
      <x:c r="E1140"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140" s="35" t="n">
        <x:v>0.3</x:v>
      </x:c>
      <x:c r="G1140" s="37" t="n">
        <x:f>C1140*F1140</x:f>
        <x:v>22.5</x:v>
      </x:c>
    </x:row>
    <x:row r="1141" ht="15" hidden="0" customHeight="1">
      <x:c r="A1141" s="34" t="str">
        <x:v>STU0104</x:v>
      </x:c>
      <x:c r="B1141" s="35" t="str">
        <x:v>CSE2ALG - Central examination</x:v>
      </x:c>
      <x:c r="C1141" s="35" t="n">
        <x:v>73</x:v>
      </x:c>
      <x:c r="D1141"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1141"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141" s="35" t="n">
        <x:v>0.5</x:v>
      </x:c>
      <x:c r="G1141" s="37" t="n">
        <x:f>C1141*F1141</x:f>
        <x:v>36.5</x:v>
      </x:c>
    </x:row>
    <x:row r="1142" ht="15" hidden="0" customHeight="1">
      <x:c r="A1142" s="34" t="str">
        <x:v>STU0104</x:v>
      </x:c>
      <x:c r="B1142" s="35" t="str">
        <x:v>CSE3CAP - Oral presentation: Project Milestone Presentation</x:v>
      </x:c>
      <x:c r="C1142" s="35" t="n">
        <x:v>77</x:v>
      </x:c>
      <x:c r="D1142"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1142" s="36" t="str">
        <x:v>SILO3: reporting project outcomes to technical and non-technical audiences and reflecting on feedback</x:v>
      </x:c>
      <x:c r="F1142" s="35" t="n">
        <x:v>0.1</x:v>
      </x:c>
      <x:c r="G1142" s="37" t="n">
        <x:f>C1142*F1142</x:f>
        <x:v>7.7</x:v>
      </x:c>
    </x:row>
    <x:row r="1143" ht="15" hidden="0" customHeight="1">
      <x:c r="A1143" s="34" t="str">
        <x:v>STU0104</x:v>
      </x:c>
      <x:c r="B1143" s="35" t="str">
        <x:v>CSE3CAP - Oral presentation: Final Project Presentation</x:v>
      </x:c>
      <x:c r="C1143" s="35" t="n">
        <x:v>77</x:v>
      </x:c>
      <x:c r="D1143"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1143" s="36" t="str">
        <x:v>SILO3: reporting project outcomes to technical and non-technical audiences and reflecting on feedback</x:v>
      </x:c>
      <x:c r="F1143" s="35" t="n">
        <x:v>0.2</x:v>
      </x:c>
      <x:c r="G1143" s="37" t="n">
        <x:f>C1143*F1143</x:f>
        <x:v>15.4</x:v>
      </x:c>
    </x:row>
    <x:row r="1144" ht="15" hidden="0" customHeight="1">
      <x:c r="A1144" s="34" t="str">
        <x:v>STU0104</x:v>
      </x:c>
      <x:c r="B1144" s="35" t="str">
        <x:v>CSE3CAP - Assignment: Final written Project Report</x:v>
      </x:c>
      <x:c r="C1144" s="35" t="n">
        <x:v>77</x:v>
      </x:c>
      <x:c r="D1144" s="36" t="str">
        <x:v>This strong result shows well-developed understanding of the relevant learning themes, particularly industry standard technical solutions in software or cybersecurity practice and professional system documentation and advanced technical reporting to industry standards. Further improvement would come from deeper justification, more consistent evaluation evidence and tighter links between decisions and implementation details.</x:v>
      </x:c>
      <x:c r="E1144" s="36" t="str">
        <x:v>SILO2: industry standard technical solutions in software or cybersecurity practice; SILO4: professional system documentation and advanced technical reporting to industry standards</x:v>
      </x:c>
      <x:c r="F1144" s="35" t="n">
        <x:v>0.35</x:v>
      </x:c>
      <x:c r="G1144" s="37" t="n">
        <x:f>C1144*F1144</x:f>
        <x:v>26.95</x:v>
      </x:c>
    </x:row>
    <x:row r="1145" ht="15" hidden="0" customHeight="1">
      <x:c r="A1145" s="34" t="str">
        <x:v>STU0104</x:v>
      </x:c>
      <x:c r="B1145" s="35" t="str">
        <x:v>CSE3CAP - Assignment: Sprint Project management reports</x:v>
      </x:c>
      <x:c r="C1145" s="35" t="n">
        <x:v>78</x:v>
      </x:c>
      <x:c r="D1145" s="36" t="str">
        <x:v>This strong result shows well-developed understanding of the relevant learning themes, particularly advanced project management during substantive development implementation and industry standard technical solutions in software or cybersecurity practice. Further improvement would come from deeper justification, more consistent evaluation evidence and tighter links between decisions and implementation details.</x:v>
      </x:c>
      <x:c r="E1145" s="36" t="str">
        <x:v>SILO1: advanced project management during substantive development implementation; SILO2: industry standard technical solutions in software or cybersecurity practice</x:v>
      </x:c>
      <x:c r="F1145" s="35" t="n">
        <x:v>0.35</x:v>
      </x:c>
      <x:c r="G1145" s="37" t="n">
        <x:f>C1145*F1145</x:f>
        <x:v>27.299999999999997</x:v>
      </x:c>
    </x:row>
    <x:row r="1146" ht="15" hidden="0" customHeight="1">
      <x:c r="A1146" s="34" t="str">
        <x:v>STU0105</x:v>
      </x:c>
      <x:c r="B1146" s="35" t="str">
        <x:v>CSE1OOF - Test</x:v>
      </x:c>
      <x:c r="C1146" s="35" t="n">
        <x:v>72</x:v>
      </x:c>
      <x:c r="D1146"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1146" s="36" t="str">
        <x:v>SILO1: analysis/design/implementation compared with object-oriented modelling using objects that combine data structure and behaviour; SILO2: abstract data types and encapsulation to localise and minimise change</x:v>
      </x:c>
      <x:c r="F1146" s="35" t="n">
        <x:v>0.15</x:v>
      </x:c>
      <x:c r="G1146" s="37" t="n">
        <x:f>C1146*F1146</x:f>
        <x:v>10.799999999999999</x:v>
      </x:c>
    </x:row>
    <x:row r="1147" ht="15" hidden="0" customHeight="1">
      <x:c r="A1147" s="34" t="str">
        <x:v>STU0105</x:v>
      </x:c>
      <x:c r="B1147" s="35" t="str">
        <x:v>CSE1OOF - Practical demonstration</x:v>
      </x:c>
      <x:c r="C1147" s="35" t="n">
        <x:v>72</x:v>
      </x:c>
      <x:c r="D1147"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147" s="36" t="str">
        <x:v>SILO2: abstract data types and encapsulation to localise and minimise change; SILO3: code sharing and reuse through object-oriented techniques to reduce development time; SILO4: object-oriented design and implementation of computer programs for real-life problems</x:v>
      </x:c>
      <x:c r="F1147" s="35" t="n">
        <x:v>0.2</x:v>
      </x:c>
      <x:c r="G1147" s="37" t="n">
        <x:f>C1147*F1147</x:f>
        <x:v>14.4</x:v>
      </x:c>
    </x:row>
    <x:row r="1148" ht="15" hidden="0" customHeight="1">
      <x:c r="A1148" s="34" t="str">
        <x:v>STU0105</x:v>
      </x:c>
      <x:c r="B1148" s="35" t="str">
        <x:v>CSE1OOF - Assignment</x:v>
      </x:c>
      <x:c r="C1148" s="35" t="n">
        <x:v>70</x:v>
      </x:c>
      <x:c r="D1148"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148" s="36" t="str">
        <x:v>SILO2: abstract data types and encapsulation to localise and minimise change; SILO3: code sharing and reuse through object-oriented techniques to reduce development time; SILO4: object-oriented design and implementation of computer programs for real-life problems</x:v>
      </x:c>
      <x:c r="F1148" s="35" t="n">
        <x:v>0.25</x:v>
      </x:c>
      <x:c r="G1148" s="37" t="n">
        <x:f>C1148*F1148</x:f>
        <x:v>17.5</x:v>
      </x:c>
    </x:row>
    <x:row r="1149" ht="15" hidden="0" customHeight="1">
      <x:c r="A1149" s="34" t="str">
        <x:v>STU0105</x:v>
      </x:c>
      <x:c r="B1149" s="35" t="str">
        <x:v>CSE1OOF - Central examination</x:v>
      </x:c>
      <x:c r="C1149" s="35" t="n">
        <x:v>67</x:v>
      </x:c>
      <x:c r="D1149"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1149"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149" s="35" t="n">
        <x:v>0.4</x:v>
      </x:c>
      <x:c r="G1149" s="37" t="n">
        <x:f>C1149*F1149</x:f>
        <x:v>26.8</x:v>
      </x:c>
    </x:row>
    <x:row r="1150" ht="15" hidden="0" customHeight="1">
      <x:c r="A1150" s="34" t="str">
        <x:v>STU0105</x:v>
      </x:c>
      <x:c r="B1150" s="35" t="str">
        <x:v>CSE2ALG - Test</x:v>
      </x:c>
      <x:c r="C1150" s="35" t="n">
        <x:v>74</x:v>
      </x:c>
      <x:c r="D1150"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1150" s="36" t="str">
        <x:v>SILO1: overall objectives of Algorithms and Data Structures; SILO2: identifying data structures and searching and sorting algorithms in computing contexts; SILO3: implementing data structures and searching and sorting algorithms in Java</x:v>
      </x:c>
      <x:c r="F1150" s="35" t="n">
        <x:v>0.2</x:v>
      </x:c>
      <x:c r="G1150" s="37" t="n">
        <x:f>C1150*F1150</x:f>
        <x:v>14.8</x:v>
      </x:c>
    </x:row>
    <x:row r="1151" ht="15" hidden="0" customHeight="1">
      <x:c r="A1151" s="34" t="str">
        <x:v>STU0105</x:v>
      </x:c>
      <x:c r="B1151" s="35" t="str">
        <x:v>CSE2ALG - Assignment</x:v>
      </x:c>
      <x:c r="C1151" s="35" t="n">
        <x:v>75</x:v>
      </x:c>
      <x:c r="D1151" s="36" t="str">
        <x:v>This strong result shows well-developed understanding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Further improvement would come from deeper justification, more consistent evaluation evidence and tighter links between decisions and implementation details.</x:v>
      </x:c>
      <x:c r="E1151"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151" s="35" t="n">
        <x:v>0.3</x:v>
      </x:c>
      <x:c r="G1151" s="37" t="n">
        <x:f>C1151*F1151</x:f>
        <x:v>22.5</x:v>
      </x:c>
    </x:row>
    <x:row r="1152" ht="15" hidden="0" customHeight="1">
      <x:c r="A1152" s="34" t="str">
        <x:v>STU0105</x:v>
      </x:c>
      <x:c r="B1152" s="35" t="str">
        <x:v>CSE2ALG - Central examination</x:v>
      </x:c>
      <x:c r="C1152" s="35" t="n">
        <x:v>70</x:v>
      </x:c>
      <x:c r="D1152"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1152"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152" s="35" t="n">
        <x:v>0.5</x:v>
      </x:c>
      <x:c r="G1152" s="37" t="n">
        <x:f>C1152*F1152</x:f>
        <x:v>35</x:v>
      </x:c>
    </x:row>
    <x:row r="1153" ht="15" hidden="0" customHeight="1">
      <x:c r="A1153" s="34" t="str">
        <x:v>STU0105</x:v>
      </x:c>
      <x:c r="B1153" s="35" t="str">
        <x:v>CSE3CAP - Oral presentation: Project Milestone Presentation</x:v>
      </x:c>
      <x:c r="C1153" s="35" t="n">
        <x:v>67</x:v>
      </x:c>
      <x:c r="D1153"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1153" s="36" t="str">
        <x:v>SILO3: reporting project outcomes to technical and non-technical audiences and reflecting on feedback</x:v>
      </x:c>
      <x:c r="F1153" s="35" t="n">
        <x:v>0.1</x:v>
      </x:c>
      <x:c r="G1153" s="37" t="n">
        <x:f>C1153*F1153</x:f>
        <x:v>6.7</x:v>
      </x:c>
    </x:row>
    <x:row r="1154" ht="15" hidden="0" customHeight="1">
      <x:c r="A1154" s="34" t="str">
        <x:v>STU0105</x:v>
      </x:c>
      <x:c r="B1154" s="35" t="str">
        <x:v>CSE3CAP - Oral presentation: Final Project Presentation</x:v>
      </x:c>
      <x:c r="C1154" s="35" t="n">
        <x:v>72</x:v>
      </x:c>
      <x:c r="D1154"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1154" s="36" t="str">
        <x:v>SILO3: reporting project outcomes to technical and non-technical audiences and reflecting on feedback</x:v>
      </x:c>
      <x:c r="F1154" s="35" t="n">
        <x:v>0.2</x:v>
      </x:c>
      <x:c r="G1154" s="37" t="n">
        <x:f>C1154*F1154</x:f>
        <x:v>14.4</x:v>
      </x:c>
    </x:row>
    <x:row r="1155" ht="15" hidden="0" customHeight="1">
      <x:c r="A1155" s="34" t="str">
        <x:v>STU0105</x:v>
      </x:c>
      <x:c r="B1155" s="35" t="str">
        <x:v>CSE3CAP - Assignment: Final written Project Report</x:v>
      </x:c>
      <x:c r="C1155" s="35" t="n">
        <x:v>69</x:v>
      </x:c>
      <x:c r="D1155" s="36" t="str">
        <x:v>This sound result shows a competent and generally reliable grasp of the relevant learning themes, particularly industry standard technical solutions in software or cybersecurity practice and professional system documentation and advanced technical reporting to industry standards. To strengthen the result, the student should provide clearer reasoning, improve technical precision and show more complete testing or reflection.</x:v>
      </x:c>
      <x:c r="E1155" s="36" t="str">
        <x:v>SILO2: industry standard technical solutions in software or cybersecurity practice; SILO4: professional system documentation and advanced technical reporting to industry standards</x:v>
      </x:c>
      <x:c r="F1155" s="35" t="n">
        <x:v>0.35</x:v>
      </x:c>
      <x:c r="G1155" s="37" t="n">
        <x:f>C1155*F1155</x:f>
        <x:v>24.15</x:v>
      </x:c>
    </x:row>
    <x:row r="1156" ht="15" hidden="0" customHeight="1">
      <x:c r="A1156" s="34" t="str">
        <x:v>STU0105</x:v>
      </x:c>
      <x:c r="B1156" s="35" t="str">
        <x:v>CSE3CAP - Assignment: Sprint Project management reports</x:v>
      </x:c>
      <x:c r="C1156" s="35" t="n">
        <x:v>68</x:v>
      </x:c>
      <x:c r="D1156" s="36" t="str">
        <x:v>This sound result shows a competent and generally reliable grasp of the relevant learning themes, particularly advanced project management during substantive development implementation and industry standard technical solutions in software or cybersecurity practice. To strengthen the result, the student should provide clearer reasoning, improve technical precision and show more complete testing or reflection.</x:v>
      </x:c>
      <x:c r="E1156" s="36" t="str">
        <x:v>SILO1: advanced project management during substantive development implementation; SILO2: industry standard technical solutions in software or cybersecurity practice</x:v>
      </x:c>
      <x:c r="F1156" s="35" t="n">
        <x:v>0.35</x:v>
      </x:c>
      <x:c r="G1156" s="37" t="n">
        <x:f>C1156*F1156</x:f>
        <x:v>23.799999999999997</x:v>
      </x:c>
    </x:row>
    <x:row r="1157" ht="15" hidden="0" customHeight="1">
      <x:c r="A1157" s="34" t="str">
        <x:v>STU0106</x:v>
      </x:c>
      <x:c r="B1157" s="35" t="str">
        <x:v>CSE1OOF - Test</x:v>
      </x:c>
      <x:c r="C1157" s="35" t="n">
        <x:v>74</x:v>
      </x:c>
      <x:c r="D1157"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1157" s="36" t="str">
        <x:v>SILO1: analysis/design/implementation compared with object-oriented modelling using objects that combine data structure and behaviour; SILO2: abstract data types and encapsulation to localise and minimise change</x:v>
      </x:c>
      <x:c r="F1157" s="35" t="n">
        <x:v>0.15</x:v>
      </x:c>
      <x:c r="G1157" s="37" t="n">
        <x:f>C1157*F1157</x:f>
        <x:v>11.1</x:v>
      </x:c>
    </x:row>
    <x:row r="1158" ht="15" hidden="0" customHeight="1">
      <x:c r="A1158" s="34" t="str">
        <x:v>STU0106</x:v>
      </x:c>
      <x:c r="B1158" s="35" t="str">
        <x:v>CSE1OOF - Practical demonstration</x:v>
      </x:c>
      <x:c r="C1158" s="35" t="n">
        <x:v>74</x:v>
      </x:c>
      <x:c r="D1158"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158" s="36" t="str">
        <x:v>SILO2: abstract data types and encapsulation to localise and minimise change; SILO3: code sharing and reuse through object-oriented techniques to reduce development time; SILO4: object-oriented design and implementation of computer programs for real-life problems</x:v>
      </x:c>
      <x:c r="F1158" s="35" t="n">
        <x:v>0.2</x:v>
      </x:c>
      <x:c r="G1158" s="37" t="n">
        <x:f>C1158*F1158</x:f>
        <x:v>14.8</x:v>
      </x:c>
    </x:row>
    <x:row r="1159" ht="15" hidden="0" customHeight="1">
      <x:c r="A1159" s="34" t="str">
        <x:v>STU0106</x:v>
      </x:c>
      <x:c r="B1159" s="35" t="str">
        <x:v>CSE1OOF - Assignment</x:v>
      </x:c>
      <x:c r="C1159" s="35" t="n">
        <x:v>78</x:v>
      </x:c>
      <x:c r="D1159"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1159" s="36" t="str">
        <x:v>SILO2: abstract data types and encapsulation to localise and minimise change; SILO3: code sharing and reuse through object-oriented techniques to reduce development time; SILO4: object-oriented design and implementation of computer programs for real-life problems</x:v>
      </x:c>
      <x:c r="F1159" s="35" t="n">
        <x:v>0.25</x:v>
      </x:c>
      <x:c r="G1159" s="37" t="n">
        <x:f>C1159*F1159</x:f>
        <x:v>19.5</x:v>
      </x:c>
    </x:row>
    <x:row r="1160" ht="15" hidden="0" customHeight="1">
      <x:c r="A1160" s="34" t="str">
        <x:v>STU0106</x:v>
      </x:c>
      <x:c r="B1160" s="35" t="str">
        <x:v>CSE1OOF - Central examination</x:v>
      </x:c>
      <x:c r="C1160" s="35" t="n">
        <x:v>74</x:v>
      </x:c>
      <x:c r="D1160"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1160"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160" s="35" t="n">
        <x:v>0.4</x:v>
      </x:c>
      <x:c r="G1160" s="37" t="n">
        <x:f>C1160*F1160</x:f>
        <x:v>29.6</x:v>
      </x:c>
    </x:row>
    <x:row r="1161" ht="15" hidden="0" customHeight="1">
      <x:c r="A1161" s="34" t="str">
        <x:v>STU0106</x:v>
      </x:c>
      <x:c r="B1161" s="35" t="str">
        <x:v>CSE2ALG - Test</x:v>
      </x:c>
      <x:c r="C1161" s="35" t="n">
        <x:v>78</x:v>
      </x:c>
      <x:c r="D1161" s="36" t="str">
        <x:v>This strong result shows well-developed understanding of the relevant learning themes, particularly overall objectives of Algorithms and Data Structures, identifying data structures and searching and sorting algorithms in computing contexts, and implementing data structures and searching and sorting algorithms in Java. Further improvement would come from deeper justification, more consistent evaluation evidence and tighter links between decisions and implementation details.</x:v>
      </x:c>
      <x:c r="E1161" s="36" t="str">
        <x:v>SILO1: overall objectives of Algorithms and Data Structures; SILO2: identifying data structures and searching and sorting algorithms in computing contexts; SILO3: implementing data structures and searching and sorting algorithms in Java</x:v>
      </x:c>
      <x:c r="F1161" s="35" t="n">
        <x:v>0.2</x:v>
      </x:c>
      <x:c r="G1161" s="37" t="n">
        <x:f>C1161*F1161</x:f>
        <x:v>15.600000000000001</x:v>
      </x:c>
    </x:row>
    <x:row r="1162" ht="15" hidden="0" customHeight="1">
      <x:c r="A1162" s="34" t="str">
        <x:v>STU0106</x:v>
      </x:c>
      <x:c r="B1162" s="35" t="str">
        <x:v>CSE2ALG - Assignment</x:v>
      </x:c>
      <x:c r="C1162" s="35" t="n">
        <x:v>79</x:v>
      </x:c>
      <x:c r="D1162" s="36" t="str">
        <x:v>This strong result shows well-developed understanding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Further improvement would come from deeper justification, more consistent evaluation evidence and tighter links between decisions and implementation details.</x:v>
      </x:c>
      <x:c r="E1162"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162" s="35" t="n">
        <x:v>0.3</x:v>
      </x:c>
      <x:c r="G1162" s="37" t="n">
        <x:f>C1162*F1162</x:f>
        <x:v>23.7</x:v>
      </x:c>
    </x:row>
    <x:row r="1163" ht="15" hidden="0" customHeight="1">
      <x:c r="A1163" s="34" t="str">
        <x:v>STU0106</x:v>
      </x:c>
      <x:c r="B1163" s="35" t="str">
        <x:v>CSE2ALG - Central examination</x:v>
      </x:c>
      <x:c r="C1163" s="35" t="n">
        <x:v>79</x:v>
      </x:c>
      <x:c r="D1163" s="36" t="str">
        <x:v>This strong result shows well-developed understanding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Further improvement would come from deeper justification, more consistent evaluation evidence and tighter links between decisions and implementation details.</x:v>
      </x:c>
      <x:c r="E1163"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163" s="35" t="n">
        <x:v>0.5</x:v>
      </x:c>
      <x:c r="G1163" s="37" t="n">
        <x:f>C1163*F1163</x:f>
        <x:v>39.5</x:v>
      </x:c>
    </x:row>
    <x:row r="1164" ht="15" hidden="0" customHeight="1">
      <x:c r="A1164" s="34" t="str">
        <x:v>STU0106</x:v>
      </x:c>
      <x:c r="B1164" s="35" t="str">
        <x:v>CSE3CAP - Oral presentation: Project Milestone Presentation</x:v>
      </x:c>
      <x:c r="C1164" s="35" t="n">
        <x:v>79</x:v>
      </x:c>
      <x:c r="D1164"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1164" s="36" t="str">
        <x:v>SILO3: reporting project outcomes to technical and non-technical audiences and reflecting on feedback</x:v>
      </x:c>
      <x:c r="F1164" s="35" t="n">
        <x:v>0.1</x:v>
      </x:c>
      <x:c r="G1164" s="37" t="n">
        <x:f>C1164*F1164</x:f>
        <x:v>7.9</x:v>
      </x:c>
    </x:row>
    <x:row r="1165" ht="15" hidden="0" customHeight="1">
      <x:c r="A1165" s="34" t="str">
        <x:v>STU0106</x:v>
      </x:c>
      <x:c r="B1165" s="35" t="str">
        <x:v>CSE3CAP - Oral presentation: Final Project Presentation</x:v>
      </x:c>
      <x:c r="C1165" s="35" t="n">
        <x:v>81</x:v>
      </x:c>
      <x:c r="D1165"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1165" s="36" t="str">
        <x:v>SILO3: reporting project outcomes to technical and non-technical audiences and reflecting on feedback</x:v>
      </x:c>
      <x:c r="F1165" s="35" t="n">
        <x:v>0.2</x:v>
      </x:c>
      <x:c r="G1165" s="37" t="n">
        <x:f>C1165*F1165</x:f>
        <x:v>16.2</x:v>
      </x:c>
    </x:row>
    <x:row r="1166" ht="15" hidden="0" customHeight="1">
      <x:c r="A1166" s="34" t="str">
        <x:v>STU0106</x:v>
      </x:c>
      <x:c r="B1166" s="35" t="str">
        <x:v>CSE3CAP - Assignment: Final written Project Report</x:v>
      </x:c>
      <x:c r="C1166" s="35" t="n">
        <x:v>82</x:v>
      </x:c>
      <x:c r="D1166" s="36" t="str">
        <x:v>This strong result shows well-developed understanding of the relevant learning themes, particularly industry standard technical solutions in software or cybersecurity practice and professional system documentation and advanced technical reporting to industry standards. Further improvement would come from deeper justification, more consistent evaluation evidence and tighter links between decisions and implementation details.</x:v>
      </x:c>
      <x:c r="E1166" s="36" t="str">
        <x:v>SILO2: industry standard technical solutions in software or cybersecurity practice; SILO4: professional system documentation and advanced technical reporting to industry standards</x:v>
      </x:c>
      <x:c r="F1166" s="35" t="n">
        <x:v>0.35</x:v>
      </x:c>
      <x:c r="G1166" s="37" t="n">
        <x:f>C1166*F1166</x:f>
        <x:v>28.7</x:v>
      </x:c>
    </x:row>
    <x:row r="1167" ht="15" hidden="0" customHeight="1">
      <x:c r="A1167" s="34" t="str">
        <x:v>STU0106</x:v>
      </x:c>
      <x:c r="B1167" s="35" t="str">
        <x:v>CSE3CAP - Assignment: Sprint Project management reports</x:v>
      </x:c>
      <x:c r="C1167" s="35" t="n">
        <x:v>81</x:v>
      </x:c>
      <x:c r="D1167" s="36" t="str">
        <x:v>This strong result shows well-developed understanding of the relevant learning themes, particularly advanced project management during substantive development implementation and industry standard technical solutions in software or cybersecurity practice. Further improvement would come from deeper justification, more consistent evaluation evidence and tighter links between decisions and implementation details.</x:v>
      </x:c>
      <x:c r="E1167" s="36" t="str">
        <x:v>SILO1: advanced project management during substantive development implementation; SILO2: industry standard technical solutions in software or cybersecurity practice</x:v>
      </x:c>
      <x:c r="F1167" s="35" t="n">
        <x:v>0.35</x:v>
      </x:c>
      <x:c r="G1167" s="37" t="n">
        <x:f>C1167*F1167</x:f>
        <x:v>28.349999999999998</x:v>
      </x:c>
    </x:row>
    <x:row r="1168" ht="15" hidden="0" customHeight="1">
      <x:c r="A1168" s="34" t="str">
        <x:v>STU0107</x:v>
      </x:c>
      <x:c r="B1168" s="35" t="str">
        <x:v>CSE1OOF - Test</x:v>
      </x:c>
      <x:c r="C1168" s="35" t="n">
        <x:v>83</x:v>
      </x:c>
      <x:c r="D1168" s="36" t="str">
        <x:v>This strong result shows well-developed understanding of the relevant learning themes, particularly analysis/design/implementation compared with object-oriented modelling using objects that combine data structure and behaviour and abstract data types and encapsulation to localise and minimise change. Further improvement would come from deeper justification, more consistent evaluation evidence and tighter links between decisions and implementation details.</x:v>
      </x:c>
      <x:c r="E1168" s="36" t="str">
        <x:v>SILO1: analysis/design/implementation compared with object-oriented modelling using objects that combine data structure and behaviour; SILO2: abstract data types and encapsulation to localise and minimise change</x:v>
      </x:c>
      <x:c r="F1168" s="35" t="n">
        <x:v>0.15</x:v>
      </x:c>
      <x:c r="G1168" s="37" t="n">
        <x:f>C1168*F1168</x:f>
        <x:v>12.45</x:v>
      </x:c>
    </x:row>
    <x:row r="1169" ht="15" hidden="0" customHeight="1">
      <x:c r="A1169" s="34" t="str">
        <x:v>STU0107</x:v>
      </x:c>
      <x:c r="B1169" s="35" t="str">
        <x:v>CSE1OOF - Practical demonstration</x:v>
      </x:c>
      <x:c r="C1169" s="35" t="n">
        <x:v>87</x:v>
      </x:c>
      <x:c r="D1169" s="36" t="str">
        <x:v>This excellent result demonstrates confident and independent command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work is clear, accurate and well justified, with only minor opportunities to further polish explanation or evaluation.</x:v>
      </x:c>
      <x:c r="E1169" s="36" t="str">
        <x:v>SILO2: abstract data types and encapsulation to localise and minimise change; SILO3: code sharing and reuse through object-oriented techniques to reduce development time; SILO4: object-oriented design and implementation of computer programs for real-life problems</x:v>
      </x:c>
      <x:c r="F1169" s="35" t="n">
        <x:v>0.2</x:v>
      </x:c>
      <x:c r="G1169" s="37" t="n">
        <x:f>C1169*F1169</x:f>
        <x:v>17.400000000000002</x:v>
      </x:c>
    </x:row>
    <x:row r="1170" ht="15" hidden="0" customHeight="1">
      <x:c r="A1170" s="34" t="str">
        <x:v>STU0107</x:v>
      </x:c>
      <x:c r="B1170" s="35" t="str">
        <x:v>CSE1OOF - Assignment</x:v>
      </x:c>
      <x:c r="C1170" s="35" t="n">
        <x:v>86</x:v>
      </x:c>
      <x:c r="D1170" s="36" t="str">
        <x:v>This excellent result demonstrates confident and independent command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work is clear, accurate and well justified, with only minor opportunities to further polish explanation or evaluation.</x:v>
      </x:c>
      <x:c r="E1170" s="36" t="str">
        <x:v>SILO2: abstract data types and encapsulation to localise and minimise change; SILO3: code sharing and reuse through object-oriented techniques to reduce development time; SILO4: object-oriented design and implementation of computer programs for real-life problems</x:v>
      </x:c>
      <x:c r="F1170" s="35" t="n">
        <x:v>0.25</x:v>
      </x:c>
      <x:c r="G1170" s="37" t="n">
        <x:f>C1170*F1170</x:f>
        <x:v>21.5</x:v>
      </x:c>
    </x:row>
    <x:row r="1171" ht="15" hidden="0" customHeight="1">
      <x:c r="A1171" s="34" t="str">
        <x:v>STU0107</x:v>
      </x:c>
      <x:c r="B1171" s="35" t="str">
        <x:v>CSE1OOF - Central examination</x:v>
      </x:c>
      <x:c r="C1171" s="35" t="n">
        <x:v>83</x:v>
      </x:c>
      <x:c r="D1171" s="36" t="str">
        <x:v>This strong result shows well-developed understanding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Further improvement would come from deeper justification, more consistent evaluation evidence and tighter links between decisions and implementation details.</x:v>
      </x:c>
      <x:c r="E1171"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171" s="35" t="n">
        <x:v>0.4</x:v>
      </x:c>
      <x:c r="G1171" s="37" t="n">
        <x:f>C1171*F1171</x:f>
        <x:v>33.2</x:v>
      </x:c>
    </x:row>
    <x:row r="1172" ht="15" hidden="0" customHeight="1">
      <x:c r="A1172" s="34" t="str">
        <x:v>STU0107</x:v>
      </x:c>
      <x:c r="B1172" s="35" t="str">
        <x:v>CSE2ALG - Test</x:v>
      </x:c>
      <x:c r="C1172" s="35" t="n">
        <x:v>92</x:v>
      </x:c>
      <x:c r="D1172" s="36" t="str">
        <x:v>This excellent result demonstrates confident and independent command of the relevant learning themes, particularly overall objectives of Algorithms and Data Structures, identifying data structures and searching and sorting algorithms in computing contexts, and implementing data structures and searching and sorting algorithms in Java. The work is clear, accurate and well justified, with only minor opportunities to further polish explanation or evaluation.</x:v>
      </x:c>
      <x:c r="E1172" s="36" t="str">
        <x:v>SILO1: overall objectives of Algorithms and Data Structures; SILO2: identifying data structures and searching and sorting algorithms in computing contexts; SILO3: implementing data structures and searching and sorting algorithms in Java</x:v>
      </x:c>
      <x:c r="F1172" s="35" t="n">
        <x:v>0.2</x:v>
      </x:c>
      <x:c r="G1172" s="37" t="n">
        <x:f>C1172*F1172</x:f>
        <x:v>18.400000000000002</x:v>
      </x:c>
    </x:row>
    <x:row r="1173" ht="15" hidden="0" customHeight="1">
      <x:c r="A1173" s="34" t="str">
        <x:v>STU0107</x:v>
      </x:c>
      <x:c r="B1173" s="35" t="str">
        <x:v>CSE2ALG - Assignment</x:v>
      </x:c>
      <x:c r="C1173" s="35" t="n">
        <x:v>87</x:v>
      </x:c>
      <x:c r="D1173" s="36" t="str">
        <x:v>This excellent result demonstrates confident and independent command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The work is clear, accurate and well justified, with only minor opportunities to further polish explanation or evaluation.</x:v>
      </x:c>
      <x:c r="E1173"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173" s="35" t="n">
        <x:v>0.3</x:v>
      </x:c>
      <x:c r="G1173" s="37" t="n">
        <x:f>C1173*F1173</x:f>
        <x:v>26.099999999999998</x:v>
      </x:c>
    </x:row>
    <x:row r="1174" ht="15" hidden="0" customHeight="1">
      <x:c r="A1174" s="34" t="str">
        <x:v>STU0107</x:v>
      </x:c>
      <x:c r="B1174" s="35" t="str">
        <x:v>CSE2ALG - Central examination</x:v>
      </x:c>
      <x:c r="C1174" s="35" t="n">
        <x:v>91</x:v>
      </x:c>
      <x:c r="D1174" s="36" t="str">
        <x:v>This excellent result demonstrates confident and independent command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The work is clear, accurate and well justified, with only minor opportunities to further polish explanation or evaluation.</x:v>
      </x:c>
      <x:c r="E1174"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174" s="35" t="n">
        <x:v>0.5</x:v>
      </x:c>
      <x:c r="G1174" s="37" t="n">
        <x:f>C1174*F1174</x:f>
        <x:v>45.5</x:v>
      </x:c>
    </x:row>
    <x:row r="1175" ht="15" hidden="0" customHeight="1">
      <x:c r="A1175" s="34" t="str">
        <x:v>STU0107</x:v>
      </x:c>
      <x:c r="B1175" s="35" t="str">
        <x:v>CSE3CAP - Oral presentation: Project Milestone Presentation</x:v>
      </x:c>
      <x:c r="C1175" s="35" t="n">
        <x:v>88</x:v>
      </x:c>
      <x:c r="D1175" s="36" t="str">
        <x:v>This excellent result demonstrates confident and independent command of the relevant learning themes, particularly reporting project outcomes to technical and non-technical audiences and reflecting on feedback. The work is clear, accurate and well justified, with only minor opportunities to further polish explanation or evaluation.</x:v>
      </x:c>
      <x:c r="E1175" s="36" t="str">
        <x:v>SILO3: reporting project outcomes to technical and non-technical audiences and reflecting on feedback</x:v>
      </x:c>
      <x:c r="F1175" s="35" t="n">
        <x:v>0.1</x:v>
      </x:c>
      <x:c r="G1175" s="37" t="n">
        <x:f>C1175*F1175</x:f>
        <x:v>8.8</x:v>
      </x:c>
    </x:row>
    <x:row r="1176" ht="15" hidden="0" customHeight="1">
      <x:c r="A1176" s="34" t="str">
        <x:v>STU0107</x:v>
      </x:c>
      <x:c r="B1176" s="35" t="str">
        <x:v>CSE3CAP - Oral presentation: Final Project Presentation</x:v>
      </x:c>
      <x:c r="C1176" s="35" t="n">
        <x:v>86</x:v>
      </x:c>
      <x:c r="D1176" s="36" t="str">
        <x:v>This excellent result demonstrates confident and independent command of the relevant learning themes, particularly reporting project outcomes to technical and non-technical audiences and reflecting on feedback. The work is clear, accurate and well justified, with only minor opportunities to further polish explanation or evaluation.</x:v>
      </x:c>
      <x:c r="E1176" s="36" t="str">
        <x:v>SILO3: reporting project outcomes to technical and non-technical audiences and reflecting on feedback</x:v>
      </x:c>
      <x:c r="F1176" s="35" t="n">
        <x:v>0.2</x:v>
      </x:c>
      <x:c r="G1176" s="37" t="n">
        <x:f>C1176*F1176</x:f>
        <x:v>17.2</x:v>
      </x:c>
    </x:row>
    <x:row r="1177" ht="15" hidden="0" customHeight="1">
      <x:c r="A1177" s="34" t="str">
        <x:v>STU0107</x:v>
      </x:c>
      <x:c r="B1177" s="35" t="str">
        <x:v>CSE3CAP - Assignment: Final written Project Report</x:v>
      </x:c>
      <x:c r="C1177" s="35" t="n">
        <x:v>85</x:v>
      </x:c>
      <x:c r="D1177" s="36" t="str">
        <x:v>This excellent result demonstrates confident and independent command of the relevant learning themes, particularly industry standard technical solutions in software or cybersecurity practice and professional system documentation and advanced technical reporting to industry standards. The work is clear, accurate and well justified, with only minor opportunities to further polish explanation or evaluation.</x:v>
      </x:c>
      <x:c r="E1177" s="36" t="str">
        <x:v>SILO2: industry standard technical solutions in software or cybersecurity practice; SILO4: professional system documentation and advanced technical reporting to industry standards</x:v>
      </x:c>
      <x:c r="F1177" s="35" t="n">
        <x:v>0.35</x:v>
      </x:c>
      <x:c r="G1177" s="37" t="n">
        <x:f>C1177*F1177</x:f>
        <x:v>29.749999999999996</x:v>
      </x:c>
    </x:row>
    <x:row r="1178" ht="15" hidden="0" customHeight="1">
      <x:c r="A1178" s="34" t="str">
        <x:v>STU0107</x:v>
      </x:c>
      <x:c r="B1178" s="35" t="str">
        <x:v>CSE3CAP - Assignment: Sprint Project management reports</x:v>
      </x:c>
      <x:c r="C1178" s="35" t="n">
        <x:v>89</x:v>
      </x:c>
      <x:c r="D1178" s="36" t="str">
        <x:v>This excellent result demonstrates confident and independent command of the relevant learning themes, particularly advanced project management during substantive development implementation and industry standard technical solutions in software or cybersecurity practice. The work is clear, accurate and well justified, with only minor opportunities to further polish explanation or evaluation.</x:v>
      </x:c>
      <x:c r="E1178" s="36" t="str">
        <x:v>SILO1: advanced project management during substantive development implementation; SILO2: industry standard technical solutions in software or cybersecurity practice</x:v>
      </x:c>
      <x:c r="F1178" s="35" t="n">
        <x:v>0.35</x:v>
      </x:c>
      <x:c r="G1178" s="37" t="n">
        <x:f>C1178*F1178</x:f>
        <x:v>31.15</x:v>
      </x:c>
    </x:row>
    <x:row r="1179" ht="15" hidden="0" customHeight="1">
      <x:c r="A1179" s="34" t="str">
        <x:v>STU0108</x:v>
      </x:c>
      <x:c r="B1179" s="35" t="str">
        <x:v>CSE1OOF - Test</x:v>
      </x:c>
      <x:c r="C1179" s="35" t="n">
        <x:v>50</x:v>
      </x:c>
      <x:c r="D1179"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1179" s="36" t="str">
        <x:v>SILO1: analysis/design/implementation compared with object-oriented modelling using objects that combine data structure and behaviour; SILO2: abstract data types and encapsulation to localise and minimise change</x:v>
      </x:c>
      <x:c r="F1179" s="35" t="n">
        <x:v>0.15</x:v>
      </x:c>
      <x:c r="G1179" s="37" t="n">
        <x:f>C1179*F1179</x:f>
        <x:v>7.5</x:v>
      </x:c>
    </x:row>
    <x:row r="1180" ht="15" hidden="0" customHeight="1">
      <x:c r="A1180" s="34" t="str">
        <x:v>STU0108</x:v>
      </x:c>
      <x:c r="B1180" s="35" t="str">
        <x:v>CSE1OOF - Practical demonstration</x:v>
      </x:c>
      <x:c r="C1180" s="35" t="n">
        <x:v>50</x:v>
      </x:c>
      <x:c r="D1180"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180" s="36" t="str">
        <x:v>SILO2: abstract data types and encapsulation to localise and minimise change; SILO3: code sharing and reuse through object-oriented techniques to reduce development time; SILO4: object-oriented design and implementation of computer programs for real-life problems</x:v>
      </x:c>
      <x:c r="F1180" s="35" t="n">
        <x:v>0.2</x:v>
      </x:c>
      <x:c r="G1180" s="37" t="n">
        <x:f>C1180*F1180</x:f>
        <x:v>10</x:v>
      </x:c>
    </x:row>
    <x:row r="1181" ht="15" hidden="0" customHeight="1">
      <x:c r="A1181" s="34" t="str">
        <x:v>STU0108</x:v>
      </x:c>
      <x:c r="B1181" s="35" t="str">
        <x:v>CSE1OOF - Assignment</x:v>
      </x:c>
      <x:c r="C1181" s="35" t="n">
        <x:v>53</x:v>
      </x:c>
      <x:c r="D1181"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181" s="36" t="str">
        <x:v>SILO2: abstract data types and encapsulation to localise and minimise change; SILO3: code sharing and reuse through object-oriented techniques to reduce development time; SILO4: object-oriented design and implementation of computer programs for real-life problems</x:v>
      </x:c>
      <x:c r="F1181" s="35" t="n">
        <x:v>0.25</x:v>
      </x:c>
      <x:c r="G1181" s="37" t="n">
        <x:f>C1181*F1181</x:f>
        <x:v>13.25</x:v>
      </x:c>
    </x:row>
    <x:row r="1182" ht="15" hidden="0" customHeight="1">
      <x:c r="A1182" s="34" t="str">
        <x:v>STU0108</x:v>
      </x:c>
      <x:c r="B1182" s="35" t="str">
        <x:v>CSE1OOF - Central examination</x:v>
      </x:c>
      <x:c r="C1182" s="35" t="n">
        <x:v>52</x:v>
      </x:c>
      <x:c r="D1182" s="36" t="str">
        <x:v>This developing result meets the core requirements but needs greater consistency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Future work should focus on consolidating the underlying concepts, applying them more consistently and explaining design or implementation decisions with stronger evidence.</x:v>
      </x:c>
      <x:c r="E1182"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182" s="35" t="n">
        <x:v>0.4</x:v>
      </x:c>
      <x:c r="G1182" s="37" t="n">
        <x:f>C1182*F1182</x:f>
        <x:v>20.8</x:v>
      </x:c>
    </x:row>
    <x:row r="1183" ht="15" hidden="0" customHeight="1">
      <x:c r="A1183" s="34" t="str">
        <x:v>STU0108</x:v>
      </x:c>
      <x:c r="B1183" s="35" t="str">
        <x:v>CSE2ALG - Test</x:v>
      </x:c>
      <x:c r="C1183" s="35" t="n">
        <x:v>52</x:v>
      </x:c>
      <x:c r="D1183"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1183" s="36" t="str">
        <x:v>SILO1: overall objectives of Algorithms and Data Structures; SILO2: identifying data structures and searching and sorting algorithms in computing contexts; SILO3: implementing data structures and searching and sorting algorithms in Java</x:v>
      </x:c>
      <x:c r="F1183" s="35" t="n">
        <x:v>0.2</x:v>
      </x:c>
      <x:c r="G1183" s="37" t="n">
        <x:f>C1183*F1183</x:f>
        <x:v>10.4</x:v>
      </x:c>
    </x:row>
    <x:row r="1184" ht="15" hidden="0" customHeight="1">
      <x:c r="A1184" s="34" t="str">
        <x:v>STU0108</x:v>
      </x:c>
      <x:c r="B1184" s="35" t="str">
        <x:v>CSE2ALG - Assignment</x:v>
      </x:c>
      <x:c r="C1184" s="35" t="n">
        <x:v>51</x:v>
      </x:c>
      <x:c r="D1184"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1184"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184" s="35" t="n">
        <x:v>0.3</x:v>
      </x:c>
      <x:c r="G1184" s="37" t="n">
        <x:f>C1184*F1184</x:f>
        <x:v>15.299999999999999</x:v>
      </x:c>
    </x:row>
    <x:row r="1185" ht="15" hidden="0" customHeight="1">
      <x:c r="A1185" s="34" t="str">
        <x:v>STU0108</x:v>
      </x:c>
      <x:c r="B1185" s="35" t="str">
        <x:v>CSE2ALG - Central examination</x:v>
      </x:c>
      <x:c r="C1185" s="35" t="n">
        <x:v>51</x:v>
      </x:c>
      <x:c r="D1185" s="36" t="str">
        <x:v>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x:v>
      </x:c>
      <x:c r="E1185"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185" s="35" t="n">
        <x:v>0.5</x:v>
      </x:c>
      <x:c r="G1185" s="37" t="n">
        <x:f>C1185*F1185</x:f>
        <x:v>25.5</x:v>
      </x:c>
    </x:row>
    <x:row r="1186" ht="15" hidden="0" customHeight="1">
      <x:c r="A1186" s="34" t="str">
        <x:v>STU0108</x:v>
      </x:c>
      <x:c r="B1186" s="35" t="str">
        <x:v>CSE3CAP - Oral presentation: Project Milestone Presentation</x:v>
      </x:c>
      <x:c r="C1186" s="35" t="n">
        <x:v>51</x:v>
      </x:c>
      <x:c r="D1186"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186" s="36" t="str">
        <x:v>SILO3: reporting project outcomes to technical and non-technical audiences and reflecting on feedback</x:v>
      </x:c>
      <x:c r="F1186" s="35" t="n">
        <x:v>0.1</x:v>
      </x:c>
      <x:c r="G1186" s="37" t="n">
        <x:f>C1186*F1186</x:f>
        <x:v>5.1000000000000005</x:v>
      </x:c>
    </x:row>
    <x:row r="1187" ht="15" hidden="0" customHeight="1">
      <x:c r="A1187" s="34" t="str">
        <x:v>STU0108</x:v>
      </x:c>
      <x:c r="B1187" s="35" t="str">
        <x:v>CSE3CAP - Oral presentation: Final Project Presentation</x:v>
      </x:c>
      <x:c r="C1187" s="35" t="n">
        <x:v>53</x:v>
      </x:c>
      <x:c r="D1187"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187" s="36" t="str">
        <x:v>SILO3: reporting project outcomes to technical and non-technical audiences and reflecting on feedback</x:v>
      </x:c>
      <x:c r="F1187" s="35" t="n">
        <x:v>0.2</x:v>
      </x:c>
      <x:c r="G1187" s="37" t="n">
        <x:f>C1187*F1187</x:f>
        <x:v>10.600000000000001</x:v>
      </x:c>
    </x:row>
    <x:row r="1188" ht="15" hidden="0" customHeight="1">
      <x:c r="A1188" s="34" t="str">
        <x:v>STU0108</x:v>
      </x:c>
      <x:c r="B1188" s="35" t="str">
        <x:v>CSE3CAP - Assignment: Final written Project Report</x:v>
      </x:c>
      <x:c r="C1188" s="35" t="n">
        <x:v>55</x:v>
      </x:c>
      <x:c r="D1188"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1188" s="36" t="str">
        <x:v>SILO2: industry standard technical solutions in software or cybersecurity practice; SILO4: professional system documentation and advanced technical reporting to industry standards</x:v>
      </x:c>
      <x:c r="F1188" s="35" t="n">
        <x:v>0.35</x:v>
      </x:c>
      <x:c r="G1188" s="37" t="n">
        <x:f>C1188*F1188</x:f>
        <x:v>19.25</x:v>
      </x:c>
    </x:row>
    <x:row r="1189" ht="15" hidden="0" customHeight="1">
      <x:c r="A1189" s="34" t="str">
        <x:v>STU0108</x:v>
      </x:c>
      <x:c r="B1189" s="35" t="str">
        <x:v>CSE3CAP - Assignment: Sprint Project management reports</x:v>
      </x:c>
      <x:c r="C1189" s="35" t="n">
        <x:v>51</x:v>
      </x:c>
      <x:c r="D1189"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1189" s="36" t="str">
        <x:v>SILO1: advanced project management during substantive development implementation; SILO2: industry standard technical solutions in software or cybersecurity practice</x:v>
      </x:c>
      <x:c r="F1189" s="35" t="n">
        <x:v>0.35</x:v>
      </x:c>
      <x:c r="G1189" s="37" t="n">
        <x:f>C1189*F1189</x:f>
        <x:v>17.849999999999998</x:v>
      </x:c>
    </x:row>
    <x:row r="1190" ht="15" hidden="0" customHeight="1">
      <x:c r="A1190" s="34" t="str">
        <x:v>STU0109</x:v>
      </x:c>
      <x:c r="B1190" s="35" t="str">
        <x:v>CSE1OOF - Test</x:v>
      </x:c>
      <x:c r="C1190" s="35" t="n">
        <x:v>71</x:v>
      </x:c>
      <x:c r="D1190"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1190" s="36" t="str">
        <x:v>SILO1: analysis/design/implementation compared with object-oriented modelling using objects that combine data structure and behaviour; SILO2: abstract data types and encapsulation to localise and minimise change</x:v>
      </x:c>
      <x:c r="F1190" s="35" t="n">
        <x:v>0.15</x:v>
      </x:c>
      <x:c r="G1190" s="37" t="n">
        <x:f>C1190*F1190</x:f>
        <x:v>10.65</x:v>
      </x:c>
    </x:row>
    <x:row r="1191" ht="15" hidden="0" customHeight="1">
      <x:c r="A1191" s="34" t="str">
        <x:v>STU0109</x:v>
      </x:c>
      <x:c r="B1191" s="35" t="str">
        <x:v>CSE1OOF - Practical demonstration</x:v>
      </x:c>
      <x:c r="C1191" s="35" t="n">
        <x:v>69</x:v>
      </x:c>
      <x:c r="D1191"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191" s="36" t="str">
        <x:v>SILO2: abstract data types and encapsulation to localise and minimise change; SILO3: code sharing and reuse through object-oriented techniques to reduce development time; SILO4: object-oriented design and implementation of computer programs for real-life problems</x:v>
      </x:c>
      <x:c r="F1191" s="35" t="n">
        <x:v>0.2</x:v>
      </x:c>
      <x:c r="G1191" s="37" t="n">
        <x:f>C1191*F1191</x:f>
        <x:v>13.8</x:v>
      </x:c>
    </x:row>
    <x:row r="1192" ht="15" hidden="0" customHeight="1">
      <x:c r="A1192" s="34" t="str">
        <x:v>STU0109</x:v>
      </x:c>
      <x:c r="B1192" s="35" t="str">
        <x:v>CSE1OOF - Assignment</x:v>
      </x:c>
      <x:c r="C1192" s="35" t="n">
        <x:v>71</x:v>
      </x:c>
      <x:c r="D1192"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192" s="36" t="str">
        <x:v>SILO2: abstract data types and encapsulation to localise and minimise change; SILO3: code sharing and reuse through object-oriented techniques to reduce development time; SILO4: object-oriented design and implementation of computer programs for real-life problems</x:v>
      </x:c>
      <x:c r="F1192" s="35" t="n">
        <x:v>0.25</x:v>
      </x:c>
      <x:c r="G1192" s="37" t="n">
        <x:f>C1192*F1192</x:f>
        <x:v>17.75</x:v>
      </x:c>
    </x:row>
    <x:row r="1193" ht="15" hidden="0" customHeight="1">
      <x:c r="A1193" s="34" t="str">
        <x:v>STU0109</x:v>
      </x:c>
      <x:c r="B1193" s="35" t="str">
        <x:v>CSE1OOF - Central examination</x:v>
      </x:c>
      <x:c r="C1193" s="35" t="n">
        <x:v>67</x:v>
      </x:c>
      <x:c r="D1193"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1193"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193" s="35" t="n">
        <x:v>0.4</x:v>
      </x:c>
      <x:c r="G1193" s="37" t="n">
        <x:f>C1193*F1193</x:f>
        <x:v>26.8</x:v>
      </x:c>
    </x:row>
    <x:row r="1194" ht="15" hidden="0" customHeight="1">
      <x:c r="A1194" s="34" t="str">
        <x:v>STU0109</x:v>
      </x:c>
      <x:c r="B1194" s="35" t="str">
        <x:v>CSE2ALG - Test</x:v>
      </x:c>
      <x:c r="C1194" s="35" t="n">
        <x:v>70</x:v>
      </x:c>
      <x:c r="D1194"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1194" s="36" t="str">
        <x:v>SILO1: overall objectives of Algorithms and Data Structures; SILO2: identifying data structures and searching and sorting algorithms in computing contexts; SILO3: implementing data structures and searching and sorting algorithms in Java</x:v>
      </x:c>
      <x:c r="F1194" s="35" t="n">
        <x:v>0.2</x:v>
      </x:c>
      <x:c r="G1194" s="37" t="n">
        <x:f>C1194*F1194</x:f>
        <x:v>14</x:v>
      </x:c>
    </x:row>
    <x:row r="1195" ht="15" hidden="0" customHeight="1">
      <x:c r="A1195" s="34" t="str">
        <x:v>STU0109</x:v>
      </x:c>
      <x:c r="B1195" s="35" t="str">
        <x:v>CSE2ALG - Assignment</x:v>
      </x:c>
      <x:c r="C1195" s="35" t="n">
        <x:v>67</x:v>
      </x:c>
      <x:c r="D1195" s="36" t="str">
        <x:v>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x:v>
      </x:c>
      <x:c r="E1195"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195" s="35" t="n">
        <x:v>0.3</x:v>
      </x:c>
      <x:c r="G1195" s="37" t="n">
        <x:f>C1195*F1195</x:f>
        <x:v>20.099999999999998</x:v>
      </x:c>
    </x:row>
    <x:row r="1196" ht="15" hidden="0" customHeight="1">
      <x:c r="A1196" s="34" t="str">
        <x:v>STU0109</x:v>
      </x:c>
      <x:c r="B1196" s="35" t="str">
        <x:v>CSE2ALG - Central examination</x:v>
      </x:c>
      <x:c r="C1196" s="35" t="n">
        <x:v>68</x:v>
      </x:c>
      <x:c r="D1196"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1196"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196" s="35" t="n">
        <x:v>0.5</x:v>
      </x:c>
      <x:c r="G1196" s="37" t="n">
        <x:f>C1196*F1196</x:f>
        <x:v>34</x:v>
      </x:c>
    </x:row>
    <x:row r="1197" ht="15" hidden="0" customHeight="1">
      <x:c r="A1197" s="34" t="str">
        <x:v>STU0109</x:v>
      </x:c>
      <x:c r="B1197" s="35" t="str">
        <x:v>CSE3CAP - Oral presentation: Project Milestone Presentation</x:v>
      </x:c>
      <x:c r="C1197" s="35" t="n">
        <x:v>71</x:v>
      </x:c>
      <x:c r="D1197"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1197" s="36" t="str">
        <x:v>SILO3: reporting project outcomes to technical and non-technical audiences and reflecting on feedback</x:v>
      </x:c>
      <x:c r="F1197" s="35" t="n">
        <x:v>0.1</x:v>
      </x:c>
      <x:c r="G1197" s="37" t="n">
        <x:f>C1197*F1197</x:f>
        <x:v>7.1000000000000005</x:v>
      </x:c>
    </x:row>
    <x:row r="1198" ht="15" hidden="0" customHeight="1">
      <x:c r="A1198" s="34" t="str">
        <x:v>STU0109</x:v>
      </x:c>
      <x:c r="B1198" s="35" t="str">
        <x:v>CSE3CAP - Oral presentation: Final Project Presentation</x:v>
      </x:c>
      <x:c r="C1198" s="35" t="n">
        <x:v>70</x:v>
      </x:c>
      <x:c r="D1198"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1198" s="36" t="str">
        <x:v>SILO3: reporting project outcomes to technical and non-technical audiences and reflecting on feedback</x:v>
      </x:c>
      <x:c r="F1198" s="35" t="n">
        <x:v>0.2</x:v>
      </x:c>
      <x:c r="G1198" s="37" t="n">
        <x:f>C1198*F1198</x:f>
        <x:v>14</x:v>
      </x:c>
    </x:row>
    <x:row r="1199" ht="15" hidden="0" customHeight="1">
      <x:c r="A1199" s="34" t="str">
        <x:v>STU0109</x:v>
      </x:c>
      <x:c r="B1199" s="35" t="str">
        <x:v>CSE3CAP - Assignment: Final written Project Report</x:v>
      </x:c>
      <x:c r="C1199" s="35" t="n">
        <x:v>71</x:v>
      </x:c>
      <x:c r="D1199" s="36" t="str">
        <x:v>This sound result shows a competent and generally reliable grasp of the relevant learning themes, particularly industry standard technical solutions in software or cybersecurity practice and professional system documentation and advanced technical reporting to industry standards. To strengthen the result, the student should provide clearer reasoning, improve technical precision and show more complete testing or reflection.</x:v>
      </x:c>
      <x:c r="E1199" s="36" t="str">
        <x:v>SILO2: industry standard technical solutions in software or cybersecurity practice; SILO4: professional system documentation and advanced technical reporting to industry standards</x:v>
      </x:c>
      <x:c r="F1199" s="35" t="n">
        <x:v>0.35</x:v>
      </x:c>
      <x:c r="G1199" s="37" t="n">
        <x:f>C1199*F1199</x:f>
        <x:v>24.849999999999998</x:v>
      </x:c>
    </x:row>
    <x:row r="1200" ht="15" hidden="0" customHeight="1">
      <x:c r="A1200" s="34" t="str">
        <x:v>STU0109</x:v>
      </x:c>
      <x:c r="B1200" s="35" t="str">
        <x:v>CSE3CAP - Assignment: Sprint Project management reports</x:v>
      </x:c>
      <x:c r="C1200" s="35" t="n">
        <x:v>67</x:v>
      </x:c>
      <x:c r="D1200" s="36" t="str">
        <x:v>This sound result shows a competent and generally reliable grasp of the relevant learning themes, particularly advanced project management during substantive development implementation and industry standard technical solutions in software or cybersecurity practice. To strengthen the result, the student should provide clearer reasoning, improve technical precision and show more complete testing or reflection.</x:v>
      </x:c>
      <x:c r="E1200" s="36" t="str">
        <x:v>SILO1: advanced project management during substantive development implementation; SILO2: industry standard technical solutions in software or cybersecurity practice</x:v>
      </x:c>
      <x:c r="F1200" s="35" t="n">
        <x:v>0.35</x:v>
      </x:c>
      <x:c r="G1200" s="37" t="n">
        <x:f>C1200*F1200</x:f>
        <x:v>23.45</x:v>
      </x:c>
    </x:row>
    <x:row r="1201" ht="15" hidden="0" customHeight="1">
      <x:c r="A1201" s="34" t="str">
        <x:v>STU0110</x:v>
      </x:c>
      <x:c r="B1201" s="35" t="str">
        <x:v>CSE1OOF - Test</x:v>
      </x:c>
      <x:c r="C1201" s="35" t="n">
        <x:v>65</x:v>
      </x:c>
      <x:c r="D1201"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1201" s="36" t="str">
        <x:v>SILO1: analysis/design/implementation compared with object-oriented modelling using objects that combine data structure and behaviour; SILO2: abstract data types and encapsulation to localise and minimise change</x:v>
      </x:c>
      <x:c r="F1201" s="35" t="n">
        <x:v>0.15</x:v>
      </x:c>
      <x:c r="G1201" s="37" t="n">
        <x:f>C1201*F1201</x:f>
        <x:v>9.75</x:v>
      </x:c>
    </x:row>
    <x:row r="1202" ht="15" hidden="0" customHeight="1">
      <x:c r="A1202" s="34" t="str">
        <x:v>STU0110</x:v>
      </x:c>
      <x:c r="B1202" s="35" t="str">
        <x:v>CSE1OOF - Practical demonstration</x:v>
      </x:c>
      <x:c r="C1202" s="35" t="n">
        <x:v>66</x:v>
      </x:c>
      <x:c r="D1202"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202" s="36" t="str">
        <x:v>SILO2: abstract data types and encapsulation to localise and minimise change; SILO3: code sharing and reuse through object-oriented techniques to reduce development time; SILO4: object-oriented design and implementation of computer programs for real-life problems</x:v>
      </x:c>
      <x:c r="F1202" s="35" t="n">
        <x:v>0.2</x:v>
      </x:c>
      <x:c r="G1202" s="37" t="n">
        <x:f>C1202*F1202</x:f>
        <x:v>13.200000000000001</x:v>
      </x:c>
    </x:row>
    <x:row r="1203" ht="15" hidden="0" customHeight="1">
      <x:c r="A1203" s="34" t="str">
        <x:v>STU0110</x:v>
      </x:c>
      <x:c r="B1203" s="35" t="str">
        <x:v>CSE1OOF - Assignment</x:v>
      </x:c>
      <x:c r="C1203" s="35" t="n">
        <x:v>66</x:v>
      </x:c>
      <x:c r="D1203"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203" s="36" t="str">
        <x:v>SILO2: abstract data types and encapsulation to localise and minimise change; SILO3: code sharing and reuse through object-oriented techniques to reduce development time; SILO4: object-oriented design and implementation of computer programs for real-life problems</x:v>
      </x:c>
      <x:c r="F1203" s="35" t="n">
        <x:v>0.25</x:v>
      </x:c>
      <x:c r="G1203" s="37" t="n">
        <x:f>C1203*F1203</x:f>
        <x:v>16.5</x:v>
      </x:c>
    </x:row>
    <x:row r="1204" ht="15" hidden="0" customHeight="1">
      <x:c r="A1204" s="34" t="str">
        <x:v>STU0110</x:v>
      </x:c>
      <x:c r="B1204" s="35" t="str">
        <x:v>CSE1OOF - Central examination</x:v>
      </x:c>
      <x:c r="C1204" s="35" t="n">
        <x:v>67</x:v>
      </x:c>
      <x:c r="D1204"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1204"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204" s="35" t="n">
        <x:v>0.4</x:v>
      </x:c>
      <x:c r="G1204" s="37" t="n">
        <x:f>C1204*F1204</x:f>
        <x:v>26.8</x:v>
      </x:c>
    </x:row>
    <x:row r="1205" ht="15" hidden="0" customHeight="1">
      <x:c r="A1205" s="34" t="str">
        <x:v>STU0110</x:v>
      </x:c>
      <x:c r="B1205" s="35" t="str">
        <x:v>CSE2ALG - Test</x:v>
      </x:c>
      <x:c r="C1205" s="35" t="n">
        <x:v>62</x:v>
      </x:c>
      <x:c r="D1205"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1205" s="36" t="str">
        <x:v>SILO1: overall objectives of Algorithms and Data Structures; SILO2: identifying data structures and searching and sorting algorithms in computing contexts; SILO3: implementing data structures and searching and sorting algorithms in Java</x:v>
      </x:c>
      <x:c r="F1205" s="35" t="n">
        <x:v>0.2</x:v>
      </x:c>
      <x:c r="G1205" s="37" t="n">
        <x:f>C1205*F1205</x:f>
        <x:v>12.4</x:v>
      </x:c>
    </x:row>
    <x:row r="1206" ht="15" hidden="0" customHeight="1">
      <x:c r="A1206" s="34" t="str">
        <x:v>STU0110</x:v>
      </x:c>
      <x:c r="B1206" s="35" t="str">
        <x:v>CSE2ALG - Assignment</x:v>
      </x:c>
      <x:c r="C1206" s="35" t="n">
        <x:v>62</x:v>
      </x:c>
      <x:c r="D1206"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1206"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206" s="35" t="n">
        <x:v>0.3</x:v>
      </x:c>
      <x:c r="G1206" s="37" t="n">
        <x:f>C1206*F1206</x:f>
        <x:v>18.599999999999998</x:v>
      </x:c>
    </x:row>
    <x:row r="1207" ht="15" hidden="0" customHeight="1">
      <x:c r="A1207" s="34" t="str">
        <x:v>STU0110</x:v>
      </x:c>
      <x:c r="B1207" s="35" t="str">
        <x:v>CSE2ALG - Central examination</x:v>
      </x:c>
      <x:c r="C1207" s="35" t="n">
        <x:v>68</x:v>
      </x:c>
      <x:c r="D1207"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1207"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207" s="35" t="n">
        <x:v>0.5</x:v>
      </x:c>
      <x:c r="G1207" s="37" t="n">
        <x:f>C1207*F1207</x:f>
        <x:v>34</x:v>
      </x:c>
    </x:row>
    <x:row r="1208" ht="15" hidden="0" customHeight="1">
      <x:c r="A1208" s="34" t="str">
        <x:v>STU0110</x:v>
      </x:c>
      <x:c r="B1208" s="35" t="str">
        <x:v>CSE3CAP - Oral presentation: Project Milestone Presentation</x:v>
      </x:c>
      <x:c r="C1208" s="35" t="n">
        <x:v>64</x:v>
      </x:c>
      <x:c r="D1208"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208" s="36" t="str">
        <x:v>SILO3: reporting project outcomes to technical and non-technical audiences and reflecting on feedback</x:v>
      </x:c>
      <x:c r="F1208" s="35" t="n">
        <x:v>0.1</x:v>
      </x:c>
      <x:c r="G1208" s="37" t="n">
        <x:f>C1208*F1208</x:f>
        <x:v>6.4</x:v>
      </x:c>
    </x:row>
    <x:row r="1209" ht="15" hidden="0" customHeight="1">
      <x:c r="A1209" s="34" t="str">
        <x:v>STU0110</x:v>
      </x:c>
      <x:c r="B1209" s="35" t="str">
        <x:v>CSE3CAP - Oral presentation: Final Project Presentation</x:v>
      </x:c>
      <x:c r="C1209" s="35" t="n">
        <x:v>65</x:v>
      </x:c>
      <x:c r="D1209"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1209" s="36" t="str">
        <x:v>SILO3: reporting project outcomes to technical and non-technical audiences and reflecting on feedback</x:v>
      </x:c>
      <x:c r="F1209" s="35" t="n">
        <x:v>0.2</x:v>
      </x:c>
      <x:c r="G1209" s="37" t="n">
        <x:f>C1209*F1209</x:f>
        <x:v>13</x:v>
      </x:c>
    </x:row>
    <x:row r="1210" ht="15" hidden="0" customHeight="1">
      <x:c r="A1210" s="34" t="str">
        <x:v>STU0110</x:v>
      </x:c>
      <x:c r="B1210" s="35" t="str">
        <x:v>CSE3CAP - Assignment: Final written Project Report</x:v>
      </x:c>
      <x:c r="C1210" s="35" t="n">
        <x:v>66</x:v>
      </x:c>
      <x:c r="D1210" s="36" t="str">
        <x:v>This sound result shows a competent and generally reliable grasp of the relevant learning themes, particularly industry standard technical solutions in software or cybersecurity practice and professional system documentation and advanced technical reporting to industry standards. To strengthen the result, the student should provide clearer reasoning, improve technical precision and show more complete testing or reflection.</x:v>
      </x:c>
      <x:c r="E1210" s="36" t="str">
        <x:v>SILO2: industry standard technical solutions in software or cybersecurity practice; SILO4: professional system documentation and advanced technical reporting to industry standards</x:v>
      </x:c>
      <x:c r="F1210" s="35" t="n">
        <x:v>0.35</x:v>
      </x:c>
      <x:c r="G1210" s="37" t="n">
        <x:f>C1210*F1210</x:f>
        <x:v>23.099999999999998</x:v>
      </x:c>
    </x:row>
    <x:row r="1211" ht="15" hidden="0" customHeight="1">
      <x:c r="A1211" s="34" t="str">
        <x:v>STU0110</x:v>
      </x:c>
      <x:c r="B1211" s="35" t="str">
        <x:v>CSE3CAP - Assignment: Sprint Project management reports</x:v>
      </x:c>
      <x:c r="C1211" s="35" t="n">
        <x:v>65</x:v>
      </x:c>
      <x:c r="D1211" s="36" t="str">
        <x:v>This sound result shows a competent and generally reliable grasp of the relevant learning themes, particularly advanced project management during substantive development implementation and industry standard technical solutions in software or cybersecurity practice. To strengthen the result, the student should provide clearer reasoning, improve technical precision and show more complete testing or reflection.</x:v>
      </x:c>
      <x:c r="E1211" s="36" t="str">
        <x:v>SILO1: advanced project management during substantive development implementation; SILO2: industry standard technical solutions in software or cybersecurity practice</x:v>
      </x:c>
      <x:c r="F1211" s="35" t="n">
        <x:v>0.35</x:v>
      </x:c>
      <x:c r="G1211" s="37" t="n">
        <x:f>C1211*F1211</x:f>
        <x:v>22.75</x:v>
      </x:c>
    </x:row>
    <x:row r="1212" ht="15" hidden="0" customHeight="1">
      <x:c r="A1212" s="34" t="str">
        <x:v>STU0111</x:v>
      </x:c>
      <x:c r="B1212" s="35" t="str">
        <x:v>CSE1OOF - Test</x:v>
      </x:c>
      <x:c r="C1212" s="35" t="n">
        <x:v>69</x:v>
      </x:c>
      <x:c r="D1212"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1212" s="36" t="str">
        <x:v>SILO1: analysis/design/implementation compared with object-oriented modelling using objects that combine data structure and behaviour; SILO2: abstract data types and encapsulation to localise and minimise change</x:v>
      </x:c>
      <x:c r="F1212" s="35" t="n">
        <x:v>0.15</x:v>
      </x:c>
      <x:c r="G1212" s="37" t="n">
        <x:f>C1212*F1212</x:f>
        <x:v>10.35</x:v>
      </x:c>
    </x:row>
    <x:row r="1213" ht="15" hidden="0" customHeight="1">
      <x:c r="A1213" s="34" t="str">
        <x:v>STU0111</x:v>
      </x:c>
      <x:c r="B1213" s="35" t="str">
        <x:v>CSE1OOF - Practical demonstration</x:v>
      </x:c>
      <x:c r="C1213" s="35" t="n">
        <x:v>70</x:v>
      </x:c>
      <x:c r="D1213"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213" s="36" t="str">
        <x:v>SILO2: abstract data types and encapsulation to localise and minimise change; SILO3: code sharing and reuse through object-oriented techniques to reduce development time; SILO4: object-oriented design and implementation of computer programs for real-life problems</x:v>
      </x:c>
      <x:c r="F1213" s="35" t="n">
        <x:v>0.2</x:v>
      </x:c>
      <x:c r="G1213" s="37" t="n">
        <x:f>C1213*F1213</x:f>
        <x:v>14</x:v>
      </x:c>
    </x:row>
    <x:row r="1214" ht="15" hidden="0" customHeight="1">
      <x:c r="A1214" s="34" t="str">
        <x:v>STU0111</x:v>
      </x:c>
      <x:c r="B1214" s="35" t="str">
        <x:v>CSE1OOF - Assignment</x:v>
      </x:c>
      <x:c r="C1214" s="35" t="n">
        <x:v>72</x:v>
      </x:c>
      <x:c r="D1214"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214" s="36" t="str">
        <x:v>SILO2: abstract data types and encapsulation to localise and minimise change; SILO3: code sharing and reuse through object-oriented techniques to reduce development time; SILO4: object-oriented design and implementation of computer programs for real-life problems</x:v>
      </x:c>
      <x:c r="F1214" s="35" t="n">
        <x:v>0.25</x:v>
      </x:c>
      <x:c r="G1214" s="37" t="n">
        <x:f>C1214*F1214</x:f>
        <x:v>18</x:v>
      </x:c>
    </x:row>
    <x:row r="1215" ht="15" hidden="0" customHeight="1">
      <x:c r="A1215" s="34" t="str">
        <x:v>STU0111</x:v>
      </x:c>
      <x:c r="B1215" s="35" t="str">
        <x:v>CSE1OOF - Central examination</x:v>
      </x:c>
      <x:c r="C1215" s="35" t="n">
        <x:v>68</x:v>
      </x:c>
      <x:c r="D1215"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1215"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215" s="35" t="n">
        <x:v>0.4</x:v>
      </x:c>
      <x:c r="G1215" s="37" t="n">
        <x:f>C1215*F1215</x:f>
        <x:v>27.200000000000003</x:v>
      </x:c>
    </x:row>
    <x:row r="1216" ht="15" hidden="0" customHeight="1">
      <x:c r="A1216" s="34" t="str">
        <x:v>STU0111</x:v>
      </x:c>
      <x:c r="B1216" s="35" t="str">
        <x:v>CSE2ALG - Test</x:v>
      </x:c>
      <x:c r="C1216" s="35" t="n">
        <x:v>71</x:v>
      </x:c>
      <x:c r="D1216"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1216" s="36" t="str">
        <x:v>SILO1: overall objectives of Algorithms and Data Structures; SILO2: identifying data structures and searching and sorting algorithms in computing contexts; SILO3: implementing data structures and searching and sorting algorithms in Java</x:v>
      </x:c>
      <x:c r="F1216" s="35" t="n">
        <x:v>0.2</x:v>
      </x:c>
      <x:c r="G1216" s="37" t="n">
        <x:f>C1216*F1216</x:f>
        <x:v>14.200000000000001</x:v>
      </x:c>
    </x:row>
    <x:row r="1217" ht="15" hidden="0" customHeight="1">
      <x:c r="A1217" s="34" t="str">
        <x:v>STU0111</x:v>
      </x:c>
      <x:c r="B1217" s="35" t="str">
        <x:v>CSE2ALG - Assignment</x:v>
      </x:c>
      <x:c r="C1217" s="35" t="n">
        <x:v>71</x:v>
      </x:c>
      <x:c r="D1217" s="36" t="str">
        <x:v>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x:v>
      </x:c>
      <x:c r="E1217"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217" s="35" t="n">
        <x:v>0.3</x:v>
      </x:c>
      <x:c r="G1217" s="37" t="n">
        <x:f>C1217*F1217</x:f>
        <x:v>21.3</x:v>
      </x:c>
    </x:row>
    <x:row r="1218" ht="15" hidden="0" customHeight="1">
      <x:c r="A1218" s="34" t="str">
        <x:v>STU0111</x:v>
      </x:c>
      <x:c r="B1218" s="35" t="str">
        <x:v>CSE2ALG - Central examination</x:v>
      </x:c>
      <x:c r="C1218" s="35" t="n">
        <x:v>72</x:v>
      </x:c>
      <x:c r="D1218"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1218"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218" s="35" t="n">
        <x:v>0.5</x:v>
      </x:c>
      <x:c r="G1218" s="37" t="n">
        <x:f>C1218*F1218</x:f>
        <x:v>36</x:v>
      </x:c>
    </x:row>
    <x:row r="1219" ht="15" hidden="0" customHeight="1">
      <x:c r="A1219" s="34" t="str">
        <x:v>STU0111</x:v>
      </x:c>
      <x:c r="B1219" s="35" t="str">
        <x:v>CSE3CAP - Oral presentation: Project Milestone Presentation</x:v>
      </x:c>
      <x:c r="C1219" s="35" t="n">
        <x:v>68</x:v>
      </x:c>
      <x:c r="D1219"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1219" s="36" t="str">
        <x:v>SILO3: reporting project outcomes to technical and non-technical audiences and reflecting on feedback</x:v>
      </x:c>
      <x:c r="F1219" s="35" t="n">
        <x:v>0.1</x:v>
      </x:c>
      <x:c r="G1219" s="37" t="n">
        <x:f>C1219*F1219</x:f>
        <x:v>6.800000000000001</x:v>
      </x:c>
    </x:row>
    <x:row r="1220" ht="15" hidden="0" customHeight="1">
      <x:c r="A1220" s="34" t="str">
        <x:v>STU0111</x:v>
      </x:c>
      <x:c r="B1220" s="35" t="str">
        <x:v>CSE3CAP - Oral presentation: Final Project Presentation</x:v>
      </x:c>
      <x:c r="C1220" s="35" t="n">
        <x:v>68</x:v>
      </x:c>
      <x:c r="D1220"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1220" s="36" t="str">
        <x:v>SILO3: reporting project outcomes to technical and non-technical audiences and reflecting on feedback</x:v>
      </x:c>
      <x:c r="F1220" s="35" t="n">
        <x:v>0.2</x:v>
      </x:c>
      <x:c r="G1220" s="37" t="n">
        <x:f>C1220*F1220</x:f>
        <x:v>13.600000000000001</x:v>
      </x:c>
    </x:row>
    <x:row r="1221" ht="15" hidden="0" customHeight="1">
      <x:c r="A1221" s="34" t="str">
        <x:v>STU0111</x:v>
      </x:c>
      <x:c r="B1221" s="35" t="str">
        <x:v>CSE3CAP - Assignment: Final written Project Report</x:v>
      </x:c>
      <x:c r="C1221" s="35" t="n">
        <x:v>63</x:v>
      </x:c>
      <x:c r="D1221"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1221" s="36" t="str">
        <x:v>SILO2: industry standard technical solutions in software or cybersecurity practice; SILO4: professional system documentation and advanced technical reporting to industry standards</x:v>
      </x:c>
      <x:c r="F1221" s="35" t="n">
        <x:v>0.35</x:v>
      </x:c>
      <x:c r="G1221" s="37" t="n">
        <x:f>C1221*F1221</x:f>
        <x:v>22.049999999999997</x:v>
      </x:c>
    </x:row>
    <x:row r="1222" ht="15" hidden="0" customHeight="1">
      <x:c r="A1222" s="34" t="str">
        <x:v>STU0111</x:v>
      </x:c>
      <x:c r="B1222" s="35" t="str">
        <x:v>CSE3CAP - Assignment: Sprint Project management reports</x:v>
      </x:c>
      <x:c r="C1222" s="35" t="n">
        <x:v>66</x:v>
      </x:c>
      <x:c r="D1222" s="36" t="str">
        <x:v>This sound result shows a competent and generally reliable grasp of the relevant learning themes, particularly advanced project management during substantive development implementation and industry standard technical solutions in software or cybersecurity practice. To strengthen the result, the student should provide clearer reasoning, improve technical precision and show more complete testing or reflection.</x:v>
      </x:c>
      <x:c r="E1222" s="36" t="str">
        <x:v>SILO1: advanced project management during substantive development implementation; SILO2: industry standard technical solutions in software or cybersecurity practice</x:v>
      </x:c>
      <x:c r="F1222" s="35" t="n">
        <x:v>0.35</x:v>
      </x:c>
      <x:c r="G1222" s="37" t="n">
        <x:f>C1222*F1222</x:f>
        <x:v>23.099999999999998</x:v>
      </x:c>
    </x:row>
    <x:row r="1223" ht="15" hidden="0" customHeight="1">
      <x:c r="A1223" s="34" t="str">
        <x:v>STU0112</x:v>
      </x:c>
      <x:c r="B1223" s="35" t="str">
        <x:v>CSE1OOF - Test</x:v>
      </x:c>
      <x:c r="C1223" s="35" t="n">
        <x:v>82</x:v>
      </x:c>
      <x:c r="D1223" s="36" t="str">
        <x:v>This strong result shows well-developed understanding of the relevant learning themes, particularly analysis/design/implementation compared with object-oriented modelling using objects that combine data structure and behaviour and abstract data types and encapsulation to localise and minimise change. Further improvement would come from deeper justification, more consistent evaluation evidence and tighter links between decisions and implementation details.</x:v>
      </x:c>
      <x:c r="E1223" s="36" t="str">
        <x:v>SILO1: analysis/design/implementation compared with object-oriented modelling using objects that combine data structure and behaviour; SILO2: abstract data types and encapsulation to localise and minimise change</x:v>
      </x:c>
      <x:c r="F1223" s="35" t="n">
        <x:v>0.15</x:v>
      </x:c>
      <x:c r="G1223" s="37" t="n">
        <x:f>C1223*F1223</x:f>
        <x:v>12.299999999999999</x:v>
      </x:c>
    </x:row>
    <x:row r="1224" ht="15" hidden="0" customHeight="1">
      <x:c r="A1224" s="34" t="str">
        <x:v>STU0112</x:v>
      </x:c>
      <x:c r="B1224" s="35" t="str">
        <x:v>CSE1OOF - Practical demonstration</x:v>
      </x:c>
      <x:c r="C1224" s="35" t="n">
        <x:v>79</x:v>
      </x:c>
      <x:c r="D1224"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1224" s="36" t="str">
        <x:v>SILO2: abstract data types and encapsulation to localise and minimise change; SILO3: code sharing and reuse through object-oriented techniques to reduce development time; SILO4: object-oriented design and implementation of computer programs for real-life problems</x:v>
      </x:c>
      <x:c r="F1224" s="35" t="n">
        <x:v>0.2</x:v>
      </x:c>
      <x:c r="G1224" s="37" t="n">
        <x:f>C1224*F1224</x:f>
        <x:v>15.8</x:v>
      </x:c>
    </x:row>
    <x:row r="1225" ht="15" hidden="0" customHeight="1">
      <x:c r="A1225" s="34" t="str">
        <x:v>STU0112</x:v>
      </x:c>
      <x:c r="B1225" s="35" t="str">
        <x:v>CSE1OOF - Assignment</x:v>
      </x:c>
      <x:c r="C1225" s="35" t="n">
        <x:v>84</x:v>
      </x:c>
      <x:c r="D1225"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1225" s="36" t="str">
        <x:v>SILO2: abstract data types and encapsulation to localise and minimise change; SILO3: code sharing and reuse through object-oriented techniques to reduce development time; SILO4: object-oriented design and implementation of computer programs for real-life problems</x:v>
      </x:c>
      <x:c r="F1225" s="35" t="n">
        <x:v>0.25</x:v>
      </x:c>
      <x:c r="G1225" s="37" t="n">
        <x:f>C1225*F1225</x:f>
        <x:v>21</x:v>
      </x:c>
    </x:row>
    <x:row r="1226" ht="15" hidden="0" customHeight="1">
      <x:c r="A1226" s="34" t="str">
        <x:v>STU0112</x:v>
      </x:c>
      <x:c r="B1226" s="35" t="str">
        <x:v>CSE1OOF - Central examination</x:v>
      </x:c>
      <x:c r="C1226" s="35" t="n">
        <x:v>84</x:v>
      </x:c>
      <x:c r="D1226" s="36" t="str">
        <x:v>This strong result shows well-developed understanding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Further improvement would come from deeper justification, more consistent evaluation evidence and tighter links between decisions and implementation details.</x:v>
      </x:c>
      <x:c r="E1226"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226" s="35" t="n">
        <x:v>0.4</x:v>
      </x:c>
      <x:c r="G1226" s="37" t="n">
        <x:f>C1226*F1226</x:f>
        <x:v>33.6</x:v>
      </x:c>
    </x:row>
    <x:row r="1227" ht="15" hidden="0" customHeight="1">
      <x:c r="A1227" s="34" t="str">
        <x:v>STU0112</x:v>
      </x:c>
      <x:c r="B1227" s="35" t="str">
        <x:v>CSE2ALG - Test</x:v>
      </x:c>
      <x:c r="C1227" s="35" t="n">
        <x:v>82</x:v>
      </x:c>
      <x:c r="D1227" s="36" t="str">
        <x:v>This strong result shows well-developed understanding of the relevant learning themes, particularly overall objectives of Algorithms and Data Structures, identifying data structures and searching and sorting algorithms in computing contexts, and implementing data structures and searching and sorting algorithms in Java. Further improvement would come from deeper justification, more consistent evaluation evidence and tighter links between decisions and implementation details.</x:v>
      </x:c>
      <x:c r="E1227" s="36" t="str">
        <x:v>SILO1: overall objectives of Algorithms and Data Structures; SILO2: identifying data structures and searching and sorting algorithms in computing contexts; SILO3: implementing data structures and searching and sorting algorithms in Java</x:v>
      </x:c>
      <x:c r="F1227" s="35" t="n">
        <x:v>0.2</x:v>
      </x:c>
      <x:c r="G1227" s="37" t="n">
        <x:f>C1227*F1227</x:f>
        <x:v>16.400000000000002</x:v>
      </x:c>
    </x:row>
    <x:row r="1228" ht="15" hidden="0" customHeight="1">
      <x:c r="A1228" s="34" t="str">
        <x:v>STU0112</x:v>
      </x:c>
      <x:c r="B1228" s="35" t="str">
        <x:v>CSE2ALG - Assignment</x:v>
      </x:c>
      <x:c r="C1228" s="35" t="n">
        <x:v>76</x:v>
      </x:c>
      <x:c r="D1228" s="36" t="str">
        <x:v>This strong result shows well-developed understanding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Further improvement would come from deeper justification, more consistent evaluation evidence and tighter links between decisions and implementation details.</x:v>
      </x:c>
      <x:c r="E1228"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228" s="35" t="n">
        <x:v>0.3</x:v>
      </x:c>
      <x:c r="G1228" s="37" t="n">
        <x:f>C1228*F1228</x:f>
        <x:v>22.8</x:v>
      </x:c>
    </x:row>
    <x:row r="1229" ht="15" hidden="0" customHeight="1">
      <x:c r="A1229" s="34" t="str">
        <x:v>STU0112</x:v>
      </x:c>
      <x:c r="B1229" s="35" t="str">
        <x:v>CSE2ALG - Central examination</x:v>
      </x:c>
      <x:c r="C1229" s="35" t="n">
        <x:v>78</x:v>
      </x:c>
      <x:c r="D1229" s="36" t="str">
        <x:v>This strong result shows well-developed understanding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Further improvement would come from deeper justification, more consistent evaluation evidence and tighter links between decisions and implementation details.</x:v>
      </x:c>
      <x:c r="E1229"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229" s="35" t="n">
        <x:v>0.5</x:v>
      </x:c>
      <x:c r="G1229" s="37" t="n">
        <x:f>C1229*F1229</x:f>
        <x:v>39</x:v>
      </x:c>
    </x:row>
    <x:row r="1230" ht="15" hidden="0" customHeight="1">
      <x:c r="A1230" s="34" t="str">
        <x:v>STU0112</x:v>
      </x:c>
      <x:c r="B1230" s="35" t="str">
        <x:v>CSE3CAP - Oral presentation: Project Milestone Presentation</x:v>
      </x:c>
      <x:c r="C1230" s="35" t="n">
        <x:v>77</x:v>
      </x:c>
      <x:c r="D1230"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1230" s="36" t="str">
        <x:v>SILO3: reporting project outcomes to technical and non-technical audiences and reflecting on feedback</x:v>
      </x:c>
      <x:c r="F1230" s="35" t="n">
        <x:v>0.1</x:v>
      </x:c>
      <x:c r="G1230" s="37" t="n">
        <x:f>C1230*F1230</x:f>
        <x:v>7.7</x:v>
      </x:c>
    </x:row>
    <x:row r="1231" ht="15" hidden="0" customHeight="1">
      <x:c r="A1231" s="34" t="str">
        <x:v>STU0112</x:v>
      </x:c>
      <x:c r="B1231" s="35" t="str">
        <x:v>CSE3CAP - Oral presentation: Final Project Presentation</x:v>
      </x:c>
      <x:c r="C1231" s="35" t="n">
        <x:v>81</x:v>
      </x:c>
      <x:c r="D1231"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1231" s="36" t="str">
        <x:v>SILO3: reporting project outcomes to technical and non-technical audiences and reflecting on feedback</x:v>
      </x:c>
      <x:c r="F1231" s="35" t="n">
        <x:v>0.2</x:v>
      </x:c>
      <x:c r="G1231" s="37" t="n">
        <x:f>C1231*F1231</x:f>
        <x:v>16.2</x:v>
      </x:c>
    </x:row>
    <x:row r="1232" ht="15" hidden="0" customHeight="1">
      <x:c r="A1232" s="34" t="str">
        <x:v>STU0112</x:v>
      </x:c>
      <x:c r="B1232" s="35" t="str">
        <x:v>CSE3CAP - Assignment: Final written Project Report</x:v>
      </x:c>
      <x:c r="C1232" s="35" t="n">
        <x:v>75</x:v>
      </x:c>
      <x:c r="D1232" s="36" t="str">
        <x:v>This strong result shows well-developed understanding of the relevant learning themes, particularly industry standard technical solutions in software or cybersecurity practice and professional system documentation and advanced technical reporting to industry standards. Further improvement would come from deeper justification, more consistent evaluation evidence and tighter links between decisions and implementation details.</x:v>
      </x:c>
      <x:c r="E1232" s="36" t="str">
        <x:v>SILO2: industry standard technical solutions in software or cybersecurity practice; SILO4: professional system documentation and advanced technical reporting to industry standards</x:v>
      </x:c>
      <x:c r="F1232" s="35" t="n">
        <x:v>0.35</x:v>
      </x:c>
      <x:c r="G1232" s="37" t="n">
        <x:f>C1232*F1232</x:f>
        <x:v>26.25</x:v>
      </x:c>
    </x:row>
    <x:row r="1233" ht="15" hidden="0" customHeight="1">
      <x:c r="A1233" s="34" t="str">
        <x:v>STU0112</x:v>
      </x:c>
      <x:c r="B1233" s="35" t="str">
        <x:v>CSE3CAP - Assignment: Sprint Project management reports</x:v>
      </x:c>
      <x:c r="C1233" s="35" t="n">
        <x:v>78</x:v>
      </x:c>
      <x:c r="D1233" s="36" t="str">
        <x:v>This strong result shows well-developed understanding of the relevant learning themes, particularly advanced project management during substantive development implementation and industry standard technical solutions in software or cybersecurity practice. Further improvement would come from deeper justification, more consistent evaluation evidence and tighter links between decisions and implementation details.</x:v>
      </x:c>
      <x:c r="E1233" s="36" t="str">
        <x:v>SILO1: advanced project management during substantive development implementation; SILO2: industry standard technical solutions in software or cybersecurity practice</x:v>
      </x:c>
      <x:c r="F1233" s="35" t="n">
        <x:v>0.35</x:v>
      </x:c>
      <x:c r="G1233" s="37" t="n">
        <x:f>C1233*F1233</x:f>
        <x:v>27.299999999999997</x:v>
      </x:c>
    </x:row>
    <x:row r="1234" ht="15" hidden="0" customHeight="1">
      <x:c r="A1234" s="34" t="str">
        <x:v>STU0113</x:v>
      </x:c>
      <x:c r="B1234" s="35" t="str">
        <x:v>CSE1OOF - Test</x:v>
      </x:c>
      <x:c r="C1234" s="35" t="n">
        <x:v>84</x:v>
      </x:c>
      <x:c r="D1234" s="36" t="str">
        <x:v>This strong result shows well-developed understanding of the relevant learning themes, particularly analysis/design/implementation compared with object-oriented modelling using objects that combine data structure and behaviour and abstract data types and encapsulation to localise and minimise change. Further improvement would come from deeper justification, more consistent evaluation evidence and tighter links between decisions and implementation details.</x:v>
      </x:c>
      <x:c r="E1234" s="36" t="str">
        <x:v>SILO1: analysis/design/implementation compared with object-oriented modelling using objects that combine data structure and behaviour; SILO2: abstract data types and encapsulation to localise and minimise change</x:v>
      </x:c>
      <x:c r="F1234" s="35" t="n">
        <x:v>0.15</x:v>
      </x:c>
      <x:c r="G1234" s="37" t="n">
        <x:f>C1234*F1234</x:f>
        <x:v>12.6</x:v>
      </x:c>
    </x:row>
    <x:row r="1235" ht="15" hidden="0" customHeight="1">
      <x:c r="A1235" s="34" t="str">
        <x:v>STU0113</x:v>
      </x:c>
      <x:c r="B1235" s="35" t="str">
        <x:v>CSE1OOF - Practical demonstration</x:v>
      </x:c>
      <x:c r="C1235" s="35" t="n">
        <x:v>85</x:v>
      </x:c>
      <x:c r="D1235" s="36" t="str">
        <x:v>This excellent result demonstrates confident and independent command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work is clear, accurate and well justified, with only minor opportunities to further polish explanation or evaluation.</x:v>
      </x:c>
      <x:c r="E1235" s="36" t="str">
        <x:v>SILO2: abstract data types and encapsulation to localise and minimise change; SILO3: code sharing and reuse through object-oriented techniques to reduce development time; SILO4: object-oriented design and implementation of computer programs for real-life problems</x:v>
      </x:c>
      <x:c r="F1235" s="35" t="n">
        <x:v>0.2</x:v>
      </x:c>
      <x:c r="G1235" s="37" t="n">
        <x:f>C1235*F1235</x:f>
        <x:v>17</x:v>
      </x:c>
    </x:row>
    <x:row r="1236" ht="15" hidden="0" customHeight="1">
      <x:c r="A1236" s="34" t="str">
        <x:v>STU0113</x:v>
      </x:c>
      <x:c r="B1236" s="35" t="str">
        <x:v>CSE1OOF - Assignment</x:v>
      </x:c>
      <x:c r="C1236" s="35" t="n">
        <x:v>84</x:v>
      </x:c>
      <x:c r="D1236"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1236" s="36" t="str">
        <x:v>SILO2: abstract data types and encapsulation to localise and minimise change; SILO3: code sharing and reuse through object-oriented techniques to reduce development time; SILO4: object-oriented design and implementation of computer programs for real-life problems</x:v>
      </x:c>
      <x:c r="F1236" s="35" t="n">
        <x:v>0.25</x:v>
      </x:c>
      <x:c r="G1236" s="37" t="n">
        <x:f>C1236*F1236</x:f>
        <x:v>21</x:v>
      </x:c>
    </x:row>
    <x:row r="1237" ht="15" hidden="0" customHeight="1">
      <x:c r="A1237" s="34" t="str">
        <x:v>STU0113</x:v>
      </x:c>
      <x:c r="B1237" s="35" t="str">
        <x:v>CSE1OOF - Central examination</x:v>
      </x:c>
      <x:c r="C1237" s="35" t="n">
        <x:v>80</x:v>
      </x:c>
      <x:c r="D1237" s="36" t="str">
        <x:v>This strong result shows well-developed understanding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Further improvement would come from deeper justification, more consistent evaluation evidence and tighter links between decisions and implementation details.</x:v>
      </x:c>
      <x:c r="E1237"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237" s="35" t="n">
        <x:v>0.4</x:v>
      </x:c>
      <x:c r="G1237" s="37" t="n">
        <x:f>C1237*F1237</x:f>
        <x:v>32</x:v>
      </x:c>
    </x:row>
    <x:row r="1238" ht="15" hidden="0" customHeight="1">
      <x:c r="A1238" s="34" t="str">
        <x:v>STU0113</x:v>
      </x:c>
      <x:c r="B1238" s="35" t="str">
        <x:v>CSE2ALG - Test</x:v>
      </x:c>
      <x:c r="C1238" s="35" t="n">
        <x:v>84</x:v>
      </x:c>
      <x:c r="D1238" s="36" t="str">
        <x:v>This strong result shows well-developed understanding of the relevant learning themes, particularly overall objectives of Algorithms and Data Structures, identifying data structures and searching and sorting algorithms in computing contexts, and implementing data structures and searching and sorting algorithms in Java. Further improvement would come from deeper justification, more consistent evaluation evidence and tighter links between decisions and implementation details.</x:v>
      </x:c>
      <x:c r="E1238" s="36" t="str">
        <x:v>SILO1: overall objectives of Algorithms and Data Structures; SILO2: identifying data structures and searching and sorting algorithms in computing contexts; SILO3: implementing data structures and searching and sorting algorithms in Java</x:v>
      </x:c>
      <x:c r="F1238" s="35" t="n">
        <x:v>0.2</x:v>
      </x:c>
      <x:c r="G1238" s="37" t="n">
        <x:f>C1238*F1238</x:f>
        <x:v>16.8</x:v>
      </x:c>
    </x:row>
    <x:row r="1239" ht="15" hidden="0" customHeight="1">
      <x:c r="A1239" s="34" t="str">
        <x:v>STU0113</x:v>
      </x:c>
      <x:c r="B1239" s="35" t="str">
        <x:v>CSE2ALG - Assignment</x:v>
      </x:c>
      <x:c r="C1239" s="35" t="n">
        <x:v>79</x:v>
      </x:c>
      <x:c r="D1239" s="36" t="str">
        <x:v>This strong result shows well-developed understanding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Further improvement would come from deeper justification, more consistent evaluation evidence and tighter links between decisions and implementation details.</x:v>
      </x:c>
      <x:c r="E1239"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239" s="35" t="n">
        <x:v>0.3</x:v>
      </x:c>
      <x:c r="G1239" s="37" t="n">
        <x:f>C1239*F1239</x:f>
        <x:v>23.7</x:v>
      </x:c>
    </x:row>
    <x:row r="1240" ht="15" hidden="0" customHeight="1">
      <x:c r="A1240" s="34" t="str">
        <x:v>STU0113</x:v>
      </x:c>
      <x:c r="B1240" s="35" t="str">
        <x:v>CSE2ALG - Central examination</x:v>
      </x:c>
      <x:c r="C1240" s="35" t="n">
        <x:v>80</x:v>
      </x:c>
      <x:c r="D1240" s="36" t="str">
        <x:v>This strong result shows well-developed understanding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Further improvement would come from deeper justification, more consistent evaluation evidence and tighter links between decisions and implementation details.</x:v>
      </x:c>
      <x:c r="E1240"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240" s="35" t="n">
        <x:v>0.5</x:v>
      </x:c>
      <x:c r="G1240" s="37" t="n">
        <x:f>C1240*F1240</x:f>
        <x:v>40</x:v>
      </x:c>
    </x:row>
    <x:row r="1241" ht="15" hidden="0" customHeight="1">
      <x:c r="A1241" s="34" t="str">
        <x:v>STU0113</x:v>
      </x:c>
      <x:c r="B1241" s="35" t="str">
        <x:v>CSE3CAP - Oral presentation: Project Milestone Presentation</x:v>
      </x:c>
      <x:c r="C1241" s="35" t="n">
        <x:v>86</x:v>
      </x:c>
      <x:c r="D1241" s="36" t="str">
        <x:v>This excellent result demonstrates confident and independent command of the relevant learning themes, particularly reporting project outcomes to technical and non-technical audiences and reflecting on feedback. The work is clear, accurate and well justified, with only minor opportunities to further polish explanation or evaluation.</x:v>
      </x:c>
      <x:c r="E1241" s="36" t="str">
        <x:v>SILO3: reporting project outcomes to technical and non-technical audiences and reflecting on feedback</x:v>
      </x:c>
      <x:c r="F1241" s="35" t="n">
        <x:v>0.1</x:v>
      </x:c>
      <x:c r="G1241" s="37" t="n">
        <x:f>C1241*F1241</x:f>
        <x:v>8.6</x:v>
      </x:c>
    </x:row>
    <x:row r="1242" ht="15" hidden="0" customHeight="1">
      <x:c r="A1242" s="34" t="str">
        <x:v>STU0113</x:v>
      </x:c>
      <x:c r="B1242" s="35" t="str">
        <x:v>CSE3CAP - Oral presentation: Final Project Presentation</x:v>
      </x:c>
      <x:c r="C1242" s="35" t="n">
        <x:v>88</x:v>
      </x:c>
      <x:c r="D1242" s="36" t="str">
        <x:v>This excellent result demonstrates confident and independent command of the relevant learning themes, particularly reporting project outcomes to technical and non-technical audiences and reflecting on feedback. The work is clear, accurate and well justified, with only minor opportunities to further polish explanation or evaluation.</x:v>
      </x:c>
      <x:c r="E1242" s="36" t="str">
        <x:v>SILO3: reporting project outcomes to technical and non-technical audiences and reflecting on feedback</x:v>
      </x:c>
      <x:c r="F1242" s="35" t="n">
        <x:v>0.2</x:v>
      </x:c>
      <x:c r="G1242" s="37" t="n">
        <x:f>C1242*F1242</x:f>
        <x:v>17.6</x:v>
      </x:c>
    </x:row>
    <x:row r="1243" ht="15" hidden="0" customHeight="1">
      <x:c r="A1243" s="34" t="str">
        <x:v>STU0113</x:v>
      </x:c>
      <x:c r="B1243" s="35" t="str">
        <x:v>CSE3CAP - Assignment: Final written Project Report</x:v>
      </x:c>
      <x:c r="C1243" s="35" t="n">
        <x:v>84</x:v>
      </x:c>
      <x:c r="D1243" s="36" t="str">
        <x:v>This strong result shows well-developed understanding of the relevant learning themes, particularly industry standard technical solutions in software or cybersecurity practice and professional system documentation and advanced technical reporting to industry standards. Further improvement would come from deeper justification, more consistent evaluation evidence and tighter links between decisions and implementation details.</x:v>
      </x:c>
      <x:c r="E1243" s="36" t="str">
        <x:v>SILO2: industry standard technical solutions in software or cybersecurity practice; SILO4: professional system documentation and advanced technical reporting to industry standards</x:v>
      </x:c>
      <x:c r="F1243" s="35" t="n">
        <x:v>0.35</x:v>
      </x:c>
      <x:c r="G1243" s="37" t="n">
        <x:f>C1243*F1243</x:f>
        <x:v>29.4</x:v>
      </x:c>
    </x:row>
    <x:row r="1244" ht="15" hidden="0" customHeight="1">
      <x:c r="A1244" s="34" t="str">
        <x:v>STU0113</x:v>
      </x:c>
      <x:c r="B1244" s="35" t="str">
        <x:v>CSE3CAP - Assignment: Sprint Project management reports</x:v>
      </x:c>
      <x:c r="C1244" s="35" t="n">
        <x:v>85</x:v>
      </x:c>
      <x:c r="D1244" s="36" t="str">
        <x:v>This excellent result demonstrates confident and independent command of the relevant learning themes, particularly advanced project management during substantive development implementation and industry standard technical solutions in software or cybersecurity practice. The work is clear, accurate and well justified, with only minor opportunities to further polish explanation or evaluation.</x:v>
      </x:c>
      <x:c r="E1244" s="36" t="str">
        <x:v>SILO1: advanced project management during substantive development implementation; SILO2: industry standard technical solutions in software or cybersecurity practice</x:v>
      </x:c>
      <x:c r="F1244" s="35" t="n">
        <x:v>0.35</x:v>
      </x:c>
      <x:c r="G1244" s="37" t="n">
        <x:f>C1244*F1244</x:f>
        <x:v>29.749999999999996</x:v>
      </x:c>
    </x:row>
    <x:row r="1245" ht="15" hidden="0" customHeight="1">
      <x:c r="A1245" s="34" t="str">
        <x:v>STU0114</x:v>
      </x:c>
      <x:c r="B1245" s="35" t="str">
        <x:v>CSE1OOF - Test</x:v>
      </x:c>
      <x:c r="C1245" s="35" t="n">
        <x:v>70</x:v>
      </x:c>
      <x:c r="D1245"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1245" s="36" t="str">
        <x:v>SILO1: analysis/design/implementation compared with object-oriented modelling using objects that combine data structure and behaviour; SILO2: abstract data types and encapsulation to localise and minimise change</x:v>
      </x:c>
      <x:c r="F1245" s="35" t="n">
        <x:v>0.15</x:v>
      </x:c>
      <x:c r="G1245" s="37" t="n">
        <x:f>C1245*F1245</x:f>
        <x:v>10.5</x:v>
      </x:c>
    </x:row>
    <x:row r="1246" ht="15" hidden="0" customHeight="1">
      <x:c r="A1246" s="34" t="str">
        <x:v>STU0114</x:v>
      </x:c>
      <x:c r="B1246" s="35" t="str">
        <x:v>CSE1OOF - Practical demonstration</x:v>
      </x:c>
      <x:c r="C1246" s="35" t="n">
        <x:v>66</x:v>
      </x:c>
      <x:c r="D1246"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246" s="36" t="str">
        <x:v>SILO2: abstract data types and encapsulation to localise and minimise change; SILO3: code sharing and reuse through object-oriented techniques to reduce development time; SILO4: object-oriented design and implementation of computer programs for real-life problems</x:v>
      </x:c>
      <x:c r="F1246" s="35" t="n">
        <x:v>0.2</x:v>
      </x:c>
      <x:c r="G1246" s="37" t="n">
        <x:f>C1246*F1246</x:f>
        <x:v>13.200000000000001</x:v>
      </x:c>
    </x:row>
    <x:row r="1247" ht="15" hidden="0" customHeight="1">
      <x:c r="A1247" s="34" t="str">
        <x:v>STU0114</x:v>
      </x:c>
      <x:c r="B1247" s="35" t="str">
        <x:v>CSE1OOF - Assignment</x:v>
      </x:c>
      <x:c r="C1247" s="35" t="n">
        <x:v>71</x:v>
      </x:c>
      <x:c r="D1247"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247" s="36" t="str">
        <x:v>SILO2: abstract data types and encapsulation to localise and minimise change; SILO3: code sharing and reuse through object-oriented techniques to reduce development time; SILO4: object-oriented design and implementation of computer programs for real-life problems</x:v>
      </x:c>
      <x:c r="F1247" s="35" t="n">
        <x:v>0.25</x:v>
      </x:c>
      <x:c r="G1247" s="37" t="n">
        <x:f>C1247*F1247</x:f>
        <x:v>17.75</x:v>
      </x:c>
    </x:row>
    <x:row r="1248" ht="15" hidden="0" customHeight="1">
      <x:c r="A1248" s="34" t="str">
        <x:v>STU0114</x:v>
      </x:c>
      <x:c r="B1248" s="35" t="str">
        <x:v>CSE1OOF - Central examination</x:v>
      </x:c>
      <x:c r="C1248" s="35" t="n">
        <x:v>67</x:v>
      </x:c>
      <x:c r="D1248"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1248"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248" s="35" t="n">
        <x:v>0.4</x:v>
      </x:c>
      <x:c r="G1248" s="37" t="n">
        <x:f>C1248*F1248</x:f>
        <x:v>26.8</x:v>
      </x:c>
    </x:row>
    <x:row r="1249" ht="15" hidden="0" customHeight="1">
      <x:c r="A1249" s="34" t="str">
        <x:v>STU0114</x:v>
      </x:c>
      <x:c r="B1249" s="35" t="str">
        <x:v>CSE2ALG - Test</x:v>
      </x:c>
      <x:c r="C1249" s="35" t="n">
        <x:v>69</x:v>
      </x:c>
      <x:c r="D1249"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1249" s="36" t="str">
        <x:v>SILO1: overall objectives of Algorithms and Data Structures; SILO2: identifying data structures and searching and sorting algorithms in computing contexts; SILO3: implementing data structures and searching and sorting algorithms in Java</x:v>
      </x:c>
      <x:c r="F1249" s="35" t="n">
        <x:v>0.2</x:v>
      </x:c>
      <x:c r="G1249" s="37" t="n">
        <x:f>C1249*F1249</x:f>
        <x:v>13.8</x:v>
      </x:c>
    </x:row>
    <x:row r="1250" ht="15" hidden="0" customHeight="1">
      <x:c r="A1250" s="34" t="str">
        <x:v>STU0114</x:v>
      </x:c>
      <x:c r="B1250" s="35" t="str">
        <x:v>CSE2ALG - Assignment</x:v>
      </x:c>
      <x:c r="C1250" s="35" t="n">
        <x:v>70</x:v>
      </x:c>
      <x:c r="D1250" s="36" t="str">
        <x:v>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x:v>
      </x:c>
      <x:c r="E1250"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250" s="35" t="n">
        <x:v>0.3</x:v>
      </x:c>
      <x:c r="G1250" s="37" t="n">
        <x:f>C1250*F1250</x:f>
        <x:v>21</x:v>
      </x:c>
    </x:row>
    <x:row r="1251" ht="15" hidden="0" customHeight="1">
      <x:c r="A1251" s="34" t="str">
        <x:v>STU0114</x:v>
      </x:c>
      <x:c r="B1251" s="35" t="str">
        <x:v>CSE2ALG - Central examination</x:v>
      </x:c>
      <x:c r="C1251" s="35" t="n">
        <x:v>69</x:v>
      </x:c>
      <x:c r="D1251"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1251"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251" s="35" t="n">
        <x:v>0.5</x:v>
      </x:c>
      <x:c r="G1251" s="37" t="n">
        <x:f>C1251*F1251</x:f>
        <x:v>34.5</x:v>
      </x:c>
    </x:row>
    <x:row r="1252" ht="15" hidden="0" customHeight="1">
      <x:c r="A1252" s="34" t="str">
        <x:v>STU0114</x:v>
      </x:c>
      <x:c r="B1252" s="35" t="str">
        <x:v>CSE3CAP - Oral presentation: Project Milestone Presentation</x:v>
      </x:c>
      <x:c r="C1252" s="35" t="n">
        <x:v>69</x:v>
      </x:c>
      <x:c r="D1252"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1252" s="36" t="str">
        <x:v>SILO3: reporting project outcomes to technical and non-technical audiences and reflecting on feedback</x:v>
      </x:c>
      <x:c r="F1252" s="35" t="n">
        <x:v>0.1</x:v>
      </x:c>
      <x:c r="G1252" s="37" t="n">
        <x:f>C1252*F1252</x:f>
        <x:v>6.9</x:v>
      </x:c>
    </x:row>
    <x:row r="1253" ht="15" hidden="0" customHeight="1">
      <x:c r="A1253" s="34" t="str">
        <x:v>STU0114</x:v>
      </x:c>
      <x:c r="B1253" s="35" t="str">
        <x:v>CSE3CAP - Oral presentation: Final Project Presentation</x:v>
      </x:c>
      <x:c r="C1253" s="35" t="n">
        <x:v>66</x:v>
      </x:c>
      <x:c r="D1253"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1253" s="36" t="str">
        <x:v>SILO3: reporting project outcomes to technical and non-technical audiences and reflecting on feedback</x:v>
      </x:c>
      <x:c r="F1253" s="35" t="n">
        <x:v>0.2</x:v>
      </x:c>
      <x:c r="G1253" s="37" t="n">
        <x:f>C1253*F1253</x:f>
        <x:v>13.200000000000001</x:v>
      </x:c>
    </x:row>
    <x:row r="1254" ht="15" hidden="0" customHeight="1">
      <x:c r="A1254" s="34" t="str">
        <x:v>STU0114</x:v>
      </x:c>
      <x:c r="B1254" s="35" t="str">
        <x:v>CSE3CAP - Assignment: Final written Project Report</x:v>
      </x:c>
      <x:c r="C1254" s="35" t="n">
        <x:v>67</x:v>
      </x:c>
      <x:c r="D1254" s="36" t="str">
        <x:v>This sound result shows a competent and generally reliable grasp of the relevant learning themes, particularly industry standard technical solutions in software or cybersecurity practice and professional system documentation and advanced technical reporting to industry standards. To strengthen the result, the student should provide clearer reasoning, improve technical precision and show more complete testing or reflection.</x:v>
      </x:c>
      <x:c r="E1254" s="36" t="str">
        <x:v>SILO2: industry standard technical solutions in software or cybersecurity practice; SILO4: professional system documentation and advanced technical reporting to industry standards</x:v>
      </x:c>
      <x:c r="F1254" s="35" t="n">
        <x:v>0.35</x:v>
      </x:c>
      <x:c r="G1254" s="37" t="n">
        <x:f>C1254*F1254</x:f>
        <x:v>23.45</x:v>
      </x:c>
    </x:row>
    <x:row r="1255" ht="15" hidden="0" customHeight="1">
      <x:c r="A1255" s="34" t="str">
        <x:v>STU0114</x:v>
      </x:c>
      <x:c r="B1255" s="35" t="str">
        <x:v>CSE3CAP - Assignment: Sprint Project management reports</x:v>
      </x:c>
      <x:c r="C1255" s="35" t="n">
        <x:v>66</x:v>
      </x:c>
      <x:c r="D1255" s="36" t="str">
        <x:v>This sound result shows a competent and generally reliable grasp of the relevant learning themes, particularly advanced project management during substantive development implementation and industry standard technical solutions in software or cybersecurity practice. To strengthen the result, the student should provide clearer reasoning, improve technical precision and show more complete testing or reflection.</x:v>
      </x:c>
      <x:c r="E1255" s="36" t="str">
        <x:v>SILO1: advanced project management during substantive development implementation; SILO2: industry standard technical solutions in software or cybersecurity practice</x:v>
      </x:c>
      <x:c r="F1255" s="35" t="n">
        <x:v>0.35</x:v>
      </x:c>
      <x:c r="G1255" s="37" t="n">
        <x:f>C1255*F1255</x:f>
        <x:v>23.099999999999998</x:v>
      </x:c>
    </x:row>
    <x:row r="1256" ht="15" hidden="0" customHeight="1">
      <x:c r="A1256" s="34" t="str">
        <x:v>STU0115</x:v>
      </x:c>
      <x:c r="B1256" s="35" t="str">
        <x:v>CSE1OOF - Test</x:v>
      </x:c>
      <x:c r="C1256" s="35" t="n">
        <x:v>59</x:v>
      </x:c>
      <x:c r="D1256"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1256" s="36" t="str">
        <x:v>SILO1: analysis/design/implementation compared with object-oriented modelling using objects that combine data structure and behaviour; SILO2: abstract data types and encapsulation to localise and minimise change</x:v>
      </x:c>
      <x:c r="F1256" s="35" t="n">
        <x:v>0.15</x:v>
      </x:c>
      <x:c r="G1256" s="37" t="n">
        <x:f>C1256*F1256</x:f>
        <x:v>8.85</x:v>
      </x:c>
    </x:row>
    <x:row r="1257" ht="15" hidden="0" customHeight="1">
      <x:c r="A1257" s="34" t="str">
        <x:v>STU0115</x:v>
      </x:c>
      <x:c r="B1257" s="35" t="str">
        <x:v>CSE1OOF - Practical demonstration</x:v>
      </x:c>
      <x:c r="C1257" s="35" t="n">
        <x:v>57</x:v>
      </x:c>
      <x:c r="D1257"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257" s="36" t="str">
        <x:v>SILO2: abstract data types and encapsulation to localise and minimise change; SILO3: code sharing and reuse through object-oriented techniques to reduce development time; SILO4: object-oriented design and implementation of computer programs for real-life problems</x:v>
      </x:c>
      <x:c r="F1257" s="35" t="n">
        <x:v>0.2</x:v>
      </x:c>
      <x:c r="G1257" s="37" t="n">
        <x:f>C1257*F1257</x:f>
        <x:v>11.4</x:v>
      </x:c>
    </x:row>
    <x:row r="1258" ht="15" hidden="0" customHeight="1">
      <x:c r="A1258" s="34" t="str">
        <x:v>STU0115</x:v>
      </x:c>
      <x:c r="B1258" s="35" t="str">
        <x:v>CSE1OOF - Assignment</x:v>
      </x:c>
      <x:c r="C1258" s="35" t="n">
        <x:v>62</x:v>
      </x:c>
      <x:c r="D1258"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258" s="36" t="str">
        <x:v>SILO2: abstract data types and encapsulation to localise and minimise change; SILO3: code sharing and reuse through object-oriented techniques to reduce development time; SILO4: object-oriented design and implementation of computer programs for real-life problems</x:v>
      </x:c>
      <x:c r="F1258" s="35" t="n">
        <x:v>0.25</x:v>
      </x:c>
      <x:c r="G1258" s="37" t="n">
        <x:f>C1258*F1258</x:f>
        <x:v>15.5</x:v>
      </x:c>
    </x:row>
    <x:row r="1259" ht="15" hidden="0" customHeight="1">
      <x:c r="A1259" s="34" t="str">
        <x:v>STU0115</x:v>
      </x:c>
      <x:c r="B1259" s="35" t="str">
        <x:v>CSE1OOF - Central examination</x:v>
      </x:c>
      <x:c r="C1259" s="35" t="n">
        <x:v>56</x:v>
      </x:c>
      <x:c r="D1259" s="36" t="str">
        <x:v>This developing result meets the core requirements but needs greater consistency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Future work should focus on consolidating the underlying concepts, applying them more consistently and explaining design or implementation decisions with stronger evidence.</x:v>
      </x:c>
      <x:c r="E1259"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259" s="35" t="n">
        <x:v>0.4</x:v>
      </x:c>
      <x:c r="G1259" s="37" t="n">
        <x:f>C1259*F1259</x:f>
        <x:v>22.400000000000002</x:v>
      </x:c>
    </x:row>
    <x:row r="1260" ht="15" hidden="0" customHeight="1">
      <x:c r="A1260" s="34" t="str">
        <x:v>STU0115</x:v>
      </x:c>
      <x:c r="B1260" s="35" t="str">
        <x:v>CSE2ALG - Test</x:v>
      </x:c>
      <x:c r="C1260" s="35" t="n">
        <x:v>59</x:v>
      </x:c>
      <x:c r="D1260"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1260" s="36" t="str">
        <x:v>SILO1: overall objectives of Algorithms and Data Structures; SILO2: identifying data structures and searching and sorting algorithms in computing contexts; SILO3: implementing data structures and searching and sorting algorithms in Java</x:v>
      </x:c>
      <x:c r="F1260" s="35" t="n">
        <x:v>0.2</x:v>
      </x:c>
      <x:c r="G1260" s="37" t="n">
        <x:f>C1260*F1260</x:f>
        <x:v>11.8</x:v>
      </x:c>
    </x:row>
    <x:row r="1261" ht="15" hidden="0" customHeight="1">
      <x:c r="A1261" s="34" t="str">
        <x:v>STU0115</x:v>
      </x:c>
      <x:c r="B1261" s="35" t="str">
        <x:v>CSE2ALG - Assignment</x:v>
      </x:c>
      <x:c r="C1261" s="35" t="n">
        <x:v>53</x:v>
      </x:c>
      <x:c r="D1261"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1261"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261" s="35" t="n">
        <x:v>0.3</x:v>
      </x:c>
      <x:c r="G1261" s="37" t="n">
        <x:f>C1261*F1261</x:f>
        <x:v>15.899999999999999</x:v>
      </x:c>
    </x:row>
    <x:row r="1262" ht="15" hidden="0" customHeight="1">
      <x:c r="A1262" s="34" t="str">
        <x:v>STU0115</x:v>
      </x:c>
      <x:c r="B1262" s="35" t="str">
        <x:v>CSE2ALG - Central examination</x:v>
      </x:c>
      <x:c r="C1262" s="35" t="n">
        <x:v>58</x:v>
      </x:c>
      <x:c r="D1262" s="36" t="str">
        <x:v>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x:v>
      </x:c>
      <x:c r="E1262"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262" s="35" t="n">
        <x:v>0.5</x:v>
      </x:c>
      <x:c r="G1262" s="37" t="n">
        <x:f>C1262*F1262</x:f>
        <x:v>29</x:v>
      </x:c>
    </x:row>
    <x:row r="1263" ht="15" hidden="0" customHeight="1">
      <x:c r="A1263" s="34" t="str">
        <x:v>STU0115</x:v>
      </x:c>
      <x:c r="B1263" s="35" t="str">
        <x:v>CSE3CAP - Oral presentation: Project Milestone Presentation</x:v>
      </x:c>
      <x:c r="C1263" s="35" t="n">
        <x:v>58</x:v>
      </x:c>
      <x:c r="D1263"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263" s="36" t="str">
        <x:v>SILO3: reporting project outcomes to technical and non-technical audiences and reflecting on feedback</x:v>
      </x:c>
      <x:c r="F1263" s="35" t="n">
        <x:v>0.1</x:v>
      </x:c>
      <x:c r="G1263" s="37" t="n">
        <x:f>C1263*F1263</x:f>
        <x:v>5.800000000000001</x:v>
      </x:c>
    </x:row>
    <x:row r="1264" ht="15" hidden="0" customHeight="1">
      <x:c r="A1264" s="34" t="str">
        <x:v>STU0115</x:v>
      </x:c>
      <x:c r="B1264" s="35" t="str">
        <x:v>CSE3CAP - Oral presentation: Final Project Presentation</x:v>
      </x:c>
      <x:c r="C1264" s="35" t="n">
        <x:v>58</x:v>
      </x:c>
      <x:c r="D1264"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264" s="36" t="str">
        <x:v>SILO3: reporting project outcomes to technical and non-technical audiences and reflecting on feedback</x:v>
      </x:c>
      <x:c r="F1264" s="35" t="n">
        <x:v>0.2</x:v>
      </x:c>
      <x:c r="G1264" s="37" t="n">
        <x:f>C1264*F1264</x:f>
        <x:v>11.600000000000001</x:v>
      </x:c>
    </x:row>
    <x:row r="1265" ht="15" hidden="0" customHeight="1">
      <x:c r="A1265" s="34" t="str">
        <x:v>STU0115</x:v>
      </x:c>
      <x:c r="B1265" s="35" t="str">
        <x:v>CSE3CAP - Assignment: Final written Project Report</x:v>
      </x:c>
      <x:c r="C1265" s="35" t="n">
        <x:v>54</x:v>
      </x:c>
      <x:c r="D1265"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1265" s="36" t="str">
        <x:v>SILO2: industry standard technical solutions in software or cybersecurity practice; SILO4: professional system documentation and advanced technical reporting to industry standards</x:v>
      </x:c>
      <x:c r="F1265" s="35" t="n">
        <x:v>0.35</x:v>
      </x:c>
      <x:c r="G1265" s="37" t="n">
        <x:f>C1265*F1265</x:f>
        <x:v>18.9</x:v>
      </x:c>
    </x:row>
    <x:row r="1266" ht="15" hidden="0" customHeight="1">
      <x:c r="A1266" s="34" t="str">
        <x:v>STU0115</x:v>
      </x:c>
      <x:c r="B1266" s="35" t="str">
        <x:v>CSE3CAP - Assignment: Sprint Project management reports</x:v>
      </x:c>
      <x:c r="C1266" s="35" t="n">
        <x:v>54</x:v>
      </x:c>
      <x:c r="D1266"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1266" s="36" t="str">
        <x:v>SILO1: advanced project management during substantive development implementation; SILO2: industry standard technical solutions in software or cybersecurity practice</x:v>
      </x:c>
      <x:c r="F1266" s="35" t="n">
        <x:v>0.35</x:v>
      </x:c>
      <x:c r="G1266" s="37" t="n">
        <x:f>C1266*F1266</x:f>
        <x:v>18.9</x:v>
      </x:c>
    </x:row>
    <x:row r="1267" ht="15" hidden="0" customHeight="1">
      <x:c r="A1267" s="34" t="str">
        <x:v>STU0116</x:v>
      </x:c>
      <x:c r="B1267" s="35" t="str">
        <x:v>CSE1OOF - Test</x:v>
      </x:c>
      <x:c r="C1267" s="35" t="n">
        <x:v>67</x:v>
      </x:c>
      <x:c r="D1267"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1267" s="36" t="str">
        <x:v>SILO1: analysis/design/implementation compared with object-oriented modelling using objects that combine data structure and behaviour; SILO2: abstract data types and encapsulation to localise and minimise change</x:v>
      </x:c>
      <x:c r="F1267" s="35" t="n">
        <x:v>0.15</x:v>
      </x:c>
      <x:c r="G1267" s="37" t="n">
        <x:f>C1267*F1267</x:f>
        <x:v>10.049999999999999</x:v>
      </x:c>
    </x:row>
    <x:row r="1268" ht="15" hidden="0" customHeight="1">
      <x:c r="A1268" s="34" t="str">
        <x:v>STU0116</x:v>
      </x:c>
      <x:c r="B1268" s="35" t="str">
        <x:v>CSE1OOF - Practical demonstration</x:v>
      </x:c>
      <x:c r="C1268" s="35" t="n">
        <x:v>67</x:v>
      </x:c>
      <x:c r="D1268"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268" s="36" t="str">
        <x:v>SILO2: abstract data types and encapsulation to localise and minimise change; SILO3: code sharing and reuse through object-oriented techniques to reduce development time; SILO4: object-oriented design and implementation of computer programs for real-life problems</x:v>
      </x:c>
      <x:c r="F1268" s="35" t="n">
        <x:v>0.2</x:v>
      </x:c>
      <x:c r="G1268" s="37" t="n">
        <x:f>C1268*F1268</x:f>
        <x:v>13.4</x:v>
      </x:c>
    </x:row>
    <x:row r="1269" ht="15" hidden="0" customHeight="1">
      <x:c r="A1269" s="34" t="str">
        <x:v>STU0116</x:v>
      </x:c>
      <x:c r="B1269" s="35" t="str">
        <x:v>CSE1OOF - Assignment</x:v>
      </x:c>
      <x:c r="C1269" s="35" t="n">
        <x:v>70</x:v>
      </x:c>
      <x:c r="D1269"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269" s="36" t="str">
        <x:v>SILO2: abstract data types and encapsulation to localise and minimise change; SILO3: code sharing and reuse through object-oriented techniques to reduce development time; SILO4: object-oriented design and implementation of computer programs for real-life problems</x:v>
      </x:c>
      <x:c r="F1269" s="35" t="n">
        <x:v>0.25</x:v>
      </x:c>
      <x:c r="G1269" s="37" t="n">
        <x:f>C1269*F1269</x:f>
        <x:v>17.5</x:v>
      </x:c>
    </x:row>
    <x:row r="1270" ht="15" hidden="0" customHeight="1">
      <x:c r="A1270" s="34" t="str">
        <x:v>STU0116</x:v>
      </x:c>
      <x:c r="B1270" s="35" t="str">
        <x:v>CSE1OOF - Central examination</x:v>
      </x:c>
      <x:c r="C1270" s="35" t="n">
        <x:v>72</x:v>
      </x:c>
      <x:c r="D1270"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1270"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270" s="35" t="n">
        <x:v>0.4</x:v>
      </x:c>
      <x:c r="G1270" s="37" t="n">
        <x:f>C1270*F1270</x:f>
        <x:v>28.8</x:v>
      </x:c>
    </x:row>
    <x:row r="1271" ht="15" hidden="0" customHeight="1">
      <x:c r="A1271" s="34" t="str">
        <x:v>STU0116</x:v>
      </x:c>
      <x:c r="B1271" s="35" t="str">
        <x:v>CSE2ALG - Test</x:v>
      </x:c>
      <x:c r="C1271" s="35" t="n">
        <x:v>67</x:v>
      </x:c>
      <x:c r="D1271"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1271" s="36" t="str">
        <x:v>SILO1: overall objectives of Algorithms and Data Structures; SILO2: identifying data structures and searching and sorting algorithms in computing contexts; SILO3: implementing data structures and searching and sorting algorithms in Java</x:v>
      </x:c>
      <x:c r="F1271" s="35" t="n">
        <x:v>0.2</x:v>
      </x:c>
      <x:c r="G1271" s="37" t="n">
        <x:f>C1271*F1271</x:f>
        <x:v>13.4</x:v>
      </x:c>
    </x:row>
    <x:row r="1272" ht="15" hidden="0" customHeight="1">
      <x:c r="A1272" s="34" t="str">
        <x:v>STU0116</x:v>
      </x:c>
      <x:c r="B1272" s="35" t="str">
        <x:v>CSE2ALG - Assignment</x:v>
      </x:c>
      <x:c r="C1272" s="35" t="n">
        <x:v>68</x:v>
      </x:c>
      <x:c r="D1272" s="36" t="str">
        <x:v>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x:v>
      </x:c>
      <x:c r="E1272"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272" s="35" t="n">
        <x:v>0.3</x:v>
      </x:c>
      <x:c r="G1272" s="37" t="n">
        <x:f>C1272*F1272</x:f>
        <x:v>20.4</x:v>
      </x:c>
    </x:row>
    <x:row r="1273" ht="15" hidden="0" customHeight="1">
      <x:c r="A1273" s="34" t="str">
        <x:v>STU0116</x:v>
      </x:c>
      <x:c r="B1273" s="35" t="str">
        <x:v>CSE2ALG - Central examination</x:v>
      </x:c>
      <x:c r="C1273" s="35" t="n">
        <x:v>66</x:v>
      </x:c>
      <x:c r="D1273"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1273"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273" s="35" t="n">
        <x:v>0.5</x:v>
      </x:c>
      <x:c r="G1273" s="37" t="n">
        <x:f>C1273*F1273</x:f>
        <x:v>33</x:v>
      </x:c>
    </x:row>
    <x:row r="1274" ht="15" hidden="0" customHeight="1">
      <x:c r="A1274" s="34" t="str">
        <x:v>STU0116</x:v>
      </x:c>
      <x:c r="B1274" s="35" t="str">
        <x:v>CSE3CAP - Oral presentation: Project Milestone Presentation</x:v>
      </x:c>
      <x:c r="C1274" s="35" t="n">
        <x:v>68</x:v>
      </x:c>
      <x:c r="D1274"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1274" s="36" t="str">
        <x:v>SILO3: reporting project outcomes to technical and non-technical audiences and reflecting on feedback</x:v>
      </x:c>
      <x:c r="F1274" s="35" t="n">
        <x:v>0.1</x:v>
      </x:c>
      <x:c r="G1274" s="37" t="n">
        <x:f>C1274*F1274</x:f>
        <x:v>6.800000000000001</x:v>
      </x:c>
    </x:row>
    <x:row r="1275" ht="15" hidden="0" customHeight="1">
      <x:c r="A1275" s="34" t="str">
        <x:v>STU0116</x:v>
      </x:c>
      <x:c r="B1275" s="35" t="str">
        <x:v>CSE3CAP - Oral presentation: Final Project Presentation</x:v>
      </x:c>
      <x:c r="C1275" s="35" t="n">
        <x:v>72</x:v>
      </x:c>
      <x:c r="D1275"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1275" s="36" t="str">
        <x:v>SILO3: reporting project outcomes to technical and non-technical audiences and reflecting on feedback</x:v>
      </x:c>
      <x:c r="F1275" s="35" t="n">
        <x:v>0.2</x:v>
      </x:c>
      <x:c r="G1275" s="37" t="n">
        <x:f>C1275*F1275</x:f>
        <x:v>14.4</x:v>
      </x:c>
    </x:row>
    <x:row r="1276" ht="15" hidden="0" customHeight="1">
      <x:c r="A1276" s="34" t="str">
        <x:v>STU0116</x:v>
      </x:c>
      <x:c r="B1276" s="35" t="str">
        <x:v>CSE3CAP - Assignment: Final written Project Report</x:v>
      </x:c>
      <x:c r="C1276" s="35" t="n">
        <x:v>70</x:v>
      </x:c>
      <x:c r="D1276" s="36" t="str">
        <x:v>This sound result shows a competent and generally reliable grasp of the relevant learning themes, particularly industry standard technical solutions in software or cybersecurity practice and professional system documentation and advanced technical reporting to industry standards. To strengthen the result, the student should provide clearer reasoning, improve technical precision and show more complete testing or reflection.</x:v>
      </x:c>
      <x:c r="E1276" s="36" t="str">
        <x:v>SILO2: industry standard technical solutions in software or cybersecurity practice; SILO4: professional system documentation and advanced technical reporting to industry standards</x:v>
      </x:c>
      <x:c r="F1276" s="35" t="n">
        <x:v>0.35</x:v>
      </x:c>
      <x:c r="G1276" s="37" t="n">
        <x:f>C1276*F1276</x:f>
        <x:v>24.5</x:v>
      </x:c>
    </x:row>
    <x:row r="1277" ht="15" hidden="0" customHeight="1">
      <x:c r="A1277" s="34" t="str">
        <x:v>STU0116</x:v>
      </x:c>
      <x:c r="B1277" s="35" t="str">
        <x:v>CSE3CAP - Assignment: Sprint Project management reports</x:v>
      </x:c>
      <x:c r="C1277" s="35" t="n">
        <x:v>70</x:v>
      </x:c>
      <x:c r="D1277" s="36" t="str">
        <x:v>This sound result shows a competent and generally reliable grasp of the relevant learning themes, particularly advanced project management during substantive development implementation and industry standard technical solutions in software or cybersecurity practice. To strengthen the result, the student should provide clearer reasoning, improve technical precision and show more complete testing or reflection.</x:v>
      </x:c>
      <x:c r="E1277" s="36" t="str">
        <x:v>SILO1: advanced project management during substantive development implementation; SILO2: industry standard technical solutions in software or cybersecurity practice</x:v>
      </x:c>
      <x:c r="F1277" s="35" t="n">
        <x:v>0.35</x:v>
      </x:c>
      <x:c r="G1277" s="37" t="n">
        <x:f>C1277*F1277</x:f>
        <x:v>24.5</x:v>
      </x:c>
    </x:row>
    <x:row r="1278" ht="15" hidden="0" customHeight="1">
      <x:c r="A1278" s="34" t="str">
        <x:v>STU0117</x:v>
      </x:c>
      <x:c r="B1278" s="35" t="str">
        <x:v>CSE1OOF - Test</x:v>
      </x:c>
      <x:c r="C1278" s="35" t="n">
        <x:v>70</x:v>
      </x:c>
      <x:c r="D1278"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1278" s="36" t="str">
        <x:v>SILO1: analysis/design/implementation compared with object-oriented modelling using objects that combine data structure and behaviour; SILO2: abstract data types and encapsulation to localise and minimise change</x:v>
      </x:c>
      <x:c r="F1278" s="35" t="n">
        <x:v>0.15</x:v>
      </x:c>
      <x:c r="G1278" s="37" t="n">
        <x:f>C1278*F1278</x:f>
        <x:v>10.5</x:v>
      </x:c>
    </x:row>
    <x:row r="1279" ht="15" hidden="0" customHeight="1">
      <x:c r="A1279" s="34" t="str">
        <x:v>STU0117</x:v>
      </x:c>
      <x:c r="B1279" s="35" t="str">
        <x:v>CSE1OOF - Practical demonstration</x:v>
      </x:c>
      <x:c r="C1279" s="35" t="n">
        <x:v>75</x:v>
      </x:c>
      <x:c r="D1279"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1279" s="36" t="str">
        <x:v>SILO2: abstract data types and encapsulation to localise and minimise change; SILO3: code sharing and reuse through object-oriented techniques to reduce development time; SILO4: object-oriented design and implementation of computer programs for real-life problems</x:v>
      </x:c>
      <x:c r="F1279" s="35" t="n">
        <x:v>0.2</x:v>
      </x:c>
      <x:c r="G1279" s="37" t="n">
        <x:f>C1279*F1279</x:f>
        <x:v>15</x:v>
      </x:c>
    </x:row>
    <x:row r="1280" ht="15" hidden="0" customHeight="1">
      <x:c r="A1280" s="34" t="str">
        <x:v>STU0117</x:v>
      </x:c>
      <x:c r="B1280" s="35" t="str">
        <x:v>CSE1OOF - Assignment</x:v>
      </x:c>
      <x:c r="C1280" s="35" t="n">
        <x:v>76</x:v>
      </x:c>
      <x:c r="D1280"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1280" s="36" t="str">
        <x:v>SILO2: abstract data types and encapsulation to localise and minimise change; SILO3: code sharing and reuse through object-oriented techniques to reduce development time; SILO4: object-oriented design and implementation of computer programs for real-life problems</x:v>
      </x:c>
      <x:c r="F1280" s="35" t="n">
        <x:v>0.25</x:v>
      </x:c>
      <x:c r="G1280" s="37" t="n">
        <x:f>C1280*F1280</x:f>
        <x:v>19</x:v>
      </x:c>
    </x:row>
    <x:row r="1281" ht="15" hidden="0" customHeight="1">
      <x:c r="A1281" s="34" t="str">
        <x:v>STU0117</x:v>
      </x:c>
      <x:c r="B1281" s="35" t="str">
        <x:v>CSE1OOF - Central examination</x:v>
      </x:c>
      <x:c r="C1281" s="35" t="n">
        <x:v>74</x:v>
      </x:c>
      <x:c r="D1281"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1281"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281" s="35" t="n">
        <x:v>0.4</x:v>
      </x:c>
      <x:c r="G1281" s="37" t="n">
        <x:f>C1281*F1281</x:f>
        <x:v>29.6</x:v>
      </x:c>
    </x:row>
    <x:row r="1282" ht="15" hidden="0" customHeight="1">
      <x:c r="A1282" s="34" t="str">
        <x:v>STU0117</x:v>
      </x:c>
      <x:c r="B1282" s="35" t="str">
        <x:v>CSE2ALG - Test</x:v>
      </x:c>
      <x:c r="C1282" s="35" t="n">
        <x:v>72</x:v>
      </x:c>
      <x:c r="D1282"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1282" s="36" t="str">
        <x:v>SILO1: overall objectives of Algorithms and Data Structures; SILO2: identifying data structures and searching and sorting algorithms in computing contexts; SILO3: implementing data structures and searching and sorting algorithms in Java</x:v>
      </x:c>
      <x:c r="F1282" s="35" t="n">
        <x:v>0.2</x:v>
      </x:c>
      <x:c r="G1282" s="37" t="n">
        <x:f>C1282*F1282</x:f>
        <x:v>14.4</x:v>
      </x:c>
    </x:row>
    <x:row r="1283" ht="15" hidden="0" customHeight="1">
      <x:c r="A1283" s="34" t="str">
        <x:v>STU0117</x:v>
      </x:c>
      <x:c r="B1283" s="35" t="str">
        <x:v>CSE2ALG - Assignment</x:v>
      </x:c>
      <x:c r="C1283" s="35" t="n">
        <x:v>75</x:v>
      </x:c>
      <x:c r="D1283" s="36" t="str">
        <x:v>This strong result shows well-developed understanding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Further improvement would come from deeper justification, more consistent evaluation evidence and tighter links between decisions and implementation details.</x:v>
      </x:c>
      <x:c r="E1283"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283" s="35" t="n">
        <x:v>0.3</x:v>
      </x:c>
      <x:c r="G1283" s="37" t="n">
        <x:f>C1283*F1283</x:f>
        <x:v>22.5</x:v>
      </x:c>
    </x:row>
    <x:row r="1284" ht="15" hidden="0" customHeight="1">
      <x:c r="A1284" s="34" t="str">
        <x:v>STU0117</x:v>
      </x:c>
      <x:c r="B1284" s="35" t="str">
        <x:v>CSE2ALG - Central examination</x:v>
      </x:c>
      <x:c r="C1284" s="35" t="n">
        <x:v>75</x:v>
      </x:c>
      <x:c r="D1284" s="36" t="str">
        <x:v>This strong result shows well-developed understanding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Further improvement would come from deeper justification, more consistent evaluation evidence and tighter links between decisions and implementation details.</x:v>
      </x:c>
      <x:c r="E1284"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284" s="35" t="n">
        <x:v>0.5</x:v>
      </x:c>
      <x:c r="G1284" s="37" t="n">
        <x:f>C1284*F1284</x:f>
        <x:v>37.5</x:v>
      </x:c>
    </x:row>
    <x:row r="1285" ht="15" hidden="0" customHeight="1">
      <x:c r="A1285" s="34" t="str">
        <x:v>STU0117</x:v>
      </x:c>
      <x:c r="B1285" s="35" t="str">
        <x:v>CSE3CAP - Oral presentation: Project Milestone Presentation</x:v>
      </x:c>
      <x:c r="C1285" s="35" t="n">
        <x:v>73</x:v>
      </x:c>
      <x:c r="D1285"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1285" s="36" t="str">
        <x:v>SILO3: reporting project outcomes to technical and non-technical audiences and reflecting on feedback</x:v>
      </x:c>
      <x:c r="F1285" s="35" t="n">
        <x:v>0.1</x:v>
      </x:c>
      <x:c r="G1285" s="37" t="n">
        <x:f>C1285*F1285</x:f>
        <x:v>7.300000000000001</x:v>
      </x:c>
    </x:row>
    <x:row r="1286" ht="15" hidden="0" customHeight="1">
      <x:c r="A1286" s="34" t="str">
        <x:v>STU0117</x:v>
      </x:c>
      <x:c r="B1286" s="35" t="str">
        <x:v>CSE3CAP - Oral presentation: Final Project Presentation</x:v>
      </x:c>
      <x:c r="C1286" s="35" t="n">
        <x:v>71</x:v>
      </x:c>
      <x:c r="D1286"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1286" s="36" t="str">
        <x:v>SILO3: reporting project outcomes to technical and non-technical audiences and reflecting on feedback</x:v>
      </x:c>
      <x:c r="F1286" s="35" t="n">
        <x:v>0.2</x:v>
      </x:c>
      <x:c r="G1286" s="37" t="n">
        <x:f>C1286*F1286</x:f>
        <x:v>14.200000000000001</x:v>
      </x:c>
    </x:row>
    <x:row r="1287" ht="15" hidden="0" customHeight="1">
      <x:c r="A1287" s="34" t="str">
        <x:v>STU0117</x:v>
      </x:c>
      <x:c r="B1287" s="35" t="str">
        <x:v>CSE3CAP - Assignment: Final written Project Report</x:v>
      </x:c>
      <x:c r="C1287" s="35" t="n">
        <x:v>69</x:v>
      </x:c>
      <x:c r="D1287" s="36" t="str">
        <x:v>This sound result shows a competent and generally reliable grasp of the relevant learning themes, particularly industry standard technical solutions in software or cybersecurity practice and professional system documentation and advanced technical reporting to industry standards. To strengthen the result, the student should provide clearer reasoning, improve technical precision and show more complete testing or reflection.</x:v>
      </x:c>
      <x:c r="E1287" s="36" t="str">
        <x:v>SILO2: industry standard technical solutions in software or cybersecurity practice; SILO4: professional system documentation and advanced technical reporting to industry standards</x:v>
      </x:c>
      <x:c r="F1287" s="35" t="n">
        <x:v>0.35</x:v>
      </x:c>
      <x:c r="G1287" s="37" t="n">
        <x:f>C1287*F1287</x:f>
        <x:v>24.15</x:v>
      </x:c>
    </x:row>
    <x:row r="1288" ht="15" hidden="0" customHeight="1">
      <x:c r="A1288" s="34" t="str">
        <x:v>STU0117</x:v>
      </x:c>
      <x:c r="B1288" s="35" t="str">
        <x:v>CSE3CAP - Assignment: Sprint Project management reports</x:v>
      </x:c>
      <x:c r="C1288" s="35" t="n">
        <x:v>75</x:v>
      </x:c>
      <x:c r="D1288" s="36" t="str">
        <x:v>This strong result shows well-developed understanding of the relevant learning themes, particularly advanced project management during substantive development implementation and industry standard technical solutions in software or cybersecurity practice. Further improvement would come from deeper justification, more consistent evaluation evidence and tighter links between decisions and implementation details.</x:v>
      </x:c>
      <x:c r="E1288" s="36" t="str">
        <x:v>SILO1: advanced project management during substantive development implementation; SILO2: industry standard technical solutions in software or cybersecurity practice</x:v>
      </x:c>
      <x:c r="F1288" s="35" t="n">
        <x:v>0.35</x:v>
      </x:c>
      <x:c r="G1288" s="37" t="n">
        <x:f>C1288*F1288</x:f>
        <x:v>26.25</x:v>
      </x:c>
    </x:row>
    <x:row r="1289" ht="15" hidden="0" customHeight="1">
      <x:c r="A1289" s="34" t="str">
        <x:v>STU0118</x:v>
      </x:c>
      <x:c r="B1289" s="35" t="str">
        <x:v>CSE1OOF - Test</x:v>
      </x:c>
      <x:c r="C1289" s="35" t="n">
        <x:v>50</x:v>
      </x:c>
      <x:c r="D1289"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1289" s="36" t="str">
        <x:v>SILO1: analysis/design/implementation compared with object-oriented modelling using objects that combine data structure and behaviour; SILO2: abstract data types and encapsulation to localise and minimise change</x:v>
      </x:c>
      <x:c r="F1289" s="35" t="n">
        <x:v>0.15</x:v>
      </x:c>
      <x:c r="G1289" s="37" t="n">
        <x:f>C1289*F1289</x:f>
        <x:v>7.5</x:v>
      </x:c>
    </x:row>
    <x:row r="1290" ht="15" hidden="0" customHeight="1">
      <x:c r="A1290" s="34" t="str">
        <x:v>STU0118</x:v>
      </x:c>
      <x:c r="B1290" s="35" t="str">
        <x:v>CSE1OOF - Practical demonstration</x:v>
      </x:c>
      <x:c r="C1290" s="35" t="n">
        <x:v>55</x:v>
      </x:c>
      <x:c r="D1290"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290" s="36" t="str">
        <x:v>SILO2: abstract data types and encapsulation to localise and minimise change; SILO3: code sharing and reuse through object-oriented techniques to reduce development time; SILO4: object-oriented design and implementation of computer programs for real-life problems</x:v>
      </x:c>
      <x:c r="F1290" s="35" t="n">
        <x:v>0.2</x:v>
      </x:c>
      <x:c r="G1290" s="37" t="n">
        <x:f>C1290*F1290</x:f>
        <x:v>11</x:v>
      </x:c>
    </x:row>
    <x:row r="1291" ht="15" hidden="0" customHeight="1">
      <x:c r="A1291" s="34" t="str">
        <x:v>STU0118</x:v>
      </x:c>
      <x:c r="B1291" s="35" t="str">
        <x:v>CSE1OOF - Assignment</x:v>
      </x:c>
      <x:c r="C1291" s="35" t="n">
        <x:v>54</x:v>
      </x:c>
      <x:c r="D1291"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291" s="36" t="str">
        <x:v>SILO2: abstract data types and encapsulation to localise and minimise change; SILO3: code sharing and reuse through object-oriented techniques to reduce development time; SILO4: object-oriented design and implementation of computer programs for real-life problems</x:v>
      </x:c>
      <x:c r="F1291" s="35" t="n">
        <x:v>0.25</x:v>
      </x:c>
      <x:c r="G1291" s="37" t="n">
        <x:f>C1291*F1291</x:f>
        <x:v>13.5</x:v>
      </x:c>
    </x:row>
    <x:row r="1292" ht="15" hidden="0" customHeight="1">
      <x:c r="A1292" s="34" t="str">
        <x:v>STU0118</x:v>
      </x:c>
      <x:c r="B1292" s="35" t="str">
        <x:v>CSE1OOF - Central examination</x:v>
      </x:c>
      <x:c r="C1292" s="35" t="n">
        <x:v>52</x:v>
      </x:c>
      <x:c r="D1292" s="36" t="str">
        <x:v>This developing result meets the core requirements but needs greater consistency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Future work should focus on consolidating the underlying concepts, applying them more consistently and explaining design or implementation decisions with stronger evidence.</x:v>
      </x:c>
      <x:c r="E1292"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292" s="35" t="n">
        <x:v>0.4</x:v>
      </x:c>
      <x:c r="G1292" s="37" t="n">
        <x:f>C1292*F1292</x:f>
        <x:v>20.8</x:v>
      </x:c>
    </x:row>
    <x:row r="1293" ht="15" hidden="0" customHeight="1">
      <x:c r="A1293" s="34" t="str">
        <x:v>STU0118</x:v>
      </x:c>
      <x:c r="B1293" s="35" t="str">
        <x:v>CSE2ALG - Test</x:v>
      </x:c>
      <x:c r="C1293" s="35" t="n">
        <x:v>61</x:v>
      </x:c>
      <x:c r="D1293"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1293" s="36" t="str">
        <x:v>SILO1: overall objectives of Algorithms and Data Structures; SILO2: identifying data structures and searching and sorting algorithms in computing contexts; SILO3: implementing data structures and searching and sorting algorithms in Java</x:v>
      </x:c>
      <x:c r="F1293" s="35" t="n">
        <x:v>0.2</x:v>
      </x:c>
      <x:c r="G1293" s="37" t="n">
        <x:f>C1293*F1293</x:f>
        <x:v>12.200000000000001</x:v>
      </x:c>
    </x:row>
    <x:row r="1294" ht="15" hidden="0" customHeight="1">
      <x:c r="A1294" s="34" t="str">
        <x:v>STU0118</x:v>
      </x:c>
      <x:c r="B1294" s="35" t="str">
        <x:v>CSE2ALG - Assignment</x:v>
      </x:c>
      <x:c r="C1294" s="35" t="n">
        <x:v>56</x:v>
      </x:c>
      <x:c r="D1294"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1294"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294" s="35" t="n">
        <x:v>0.3</x:v>
      </x:c>
      <x:c r="G1294" s="37" t="n">
        <x:f>C1294*F1294</x:f>
        <x:v>16.8</x:v>
      </x:c>
    </x:row>
    <x:row r="1295" ht="15" hidden="0" customHeight="1">
      <x:c r="A1295" s="34" t="str">
        <x:v>STU0118</x:v>
      </x:c>
      <x:c r="B1295" s="35" t="str">
        <x:v>CSE2ALG - Central examination</x:v>
      </x:c>
      <x:c r="C1295" s="35" t="n">
        <x:v>59</x:v>
      </x:c>
      <x:c r="D1295" s="36" t="str">
        <x:v>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x:v>
      </x:c>
      <x:c r="E1295"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295" s="35" t="n">
        <x:v>0.5</x:v>
      </x:c>
      <x:c r="G1295" s="37" t="n">
        <x:f>C1295*F1295</x:f>
        <x:v>29.5</x:v>
      </x:c>
    </x:row>
    <x:row r="1296" ht="15" hidden="0" customHeight="1">
      <x:c r="A1296" s="34" t="str">
        <x:v>STU0118</x:v>
      </x:c>
      <x:c r="B1296" s="35" t="str">
        <x:v>CSE3CAP - Oral presentation: Project Milestone Presentation</x:v>
      </x:c>
      <x:c r="C1296" s="35" t="n">
        <x:v>56</x:v>
      </x:c>
      <x:c r="D1296"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296" s="36" t="str">
        <x:v>SILO3: reporting project outcomes to technical and non-technical audiences and reflecting on feedback</x:v>
      </x:c>
      <x:c r="F1296" s="35" t="n">
        <x:v>0.1</x:v>
      </x:c>
      <x:c r="G1296" s="37" t="n">
        <x:f>C1296*F1296</x:f>
        <x:v>5.6000000000000005</x:v>
      </x:c>
    </x:row>
    <x:row r="1297" ht="15" hidden="0" customHeight="1">
      <x:c r="A1297" s="34" t="str">
        <x:v>STU0118</x:v>
      </x:c>
      <x:c r="B1297" s="35" t="str">
        <x:v>CSE3CAP - Oral presentation: Final Project Presentation</x:v>
      </x:c>
      <x:c r="C1297" s="35" t="n">
        <x:v>54</x:v>
      </x:c>
      <x:c r="D1297"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297" s="36" t="str">
        <x:v>SILO3: reporting project outcomes to technical and non-technical audiences and reflecting on feedback</x:v>
      </x:c>
      <x:c r="F1297" s="35" t="n">
        <x:v>0.2</x:v>
      </x:c>
      <x:c r="G1297" s="37" t="n">
        <x:f>C1297*F1297</x:f>
        <x:v>10.8</x:v>
      </x:c>
    </x:row>
    <x:row r="1298" ht="15" hidden="0" customHeight="1">
      <x:c r="A1298" s="34" t="str">
        <x:v>STU0118</x:v>
      </x:c>
      <x:c r="B1298" s="35" t="str">
        <x:v>CSE3CAP - Assignment: Final written Project Report</x:v>
      </x:c>
      <x:c r="C1298" s="35" t="n">
        <x:v>52</x:v>
      </x:c>
      <x:c r="D1298"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1298" s="36" t="str">
        <x:v>SILO2: industry standard technical solutions in software or cybersecurity practice; SILO4: professional system documentation and advanced technical reporting to industry standards</x:v>
      </x:c>
      <x:c r="F1298" s="35" t="n">
        <x:v>0.35</x:v>
      </x:c>
      <x:c r="G1298" s="37" t="n">
        <x:f>C1298*F1298</x:f>
        <x:v>18.2</x:v>
      </x:c>
    </x:row>
    <x:row r="1299" ht="15" hidden="0" customHeight="1">
      <x:c r="A1299" s="34" t="str">
        <x:v>STU0118</x:v>
      </x:c>
      <x:c r="B1299" s="35" t="str">
        <x:v>CSE3CAP - Assignment: Sprint Project management reports</x:v>
      </x:c>
      <x:c r="C1299" s="35" t="n">
        <x:v>55</x:v>
      </x:c>
      <x:c r="D1299"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1299" s="36" t="str">
        <x:v>SILO1: advanced project management during substantive development implementation; SILO2: industry standard technical solutions in software or cybersecurity practice</x:v>
      </x:c>
      <x:c r="F1299" s="35" t="n">
        <x:v>0.35</x:v>
      </x:c>
      <x:c r="G1299" s="37" t="n">
        <x:f>C1299*F1299</x:f>
        <x:v>19.25</x:v>
      </x:c>
    </x:row>
    <x:row r="1300" ht="15" hidden="0" customHeight="1">
      <x:c r="A1300" s="34" t="str">
        <x:v>STU0119</x:v>
      </x:c>
      <x:c r="B1300" s="35" t="str">
        <x:v>CSE1OOF - Test</x:v>
      </x:c>
      <x:c r="C1300" s="35" t="n">
        <x:v>91</x:v>
      </x:c>
      <x:c r="D1300" s="36" t="str">
        <x:v>This excellent result demonstrates confident and independent command of the relevant learning themes, particularly analysis/design/implementation compared with object-oriented modelling using objects that combine data structure and behaviour and abstract data types and encapsulation to localise and minimise change. The work is clear, accurate and well justified, with only minor opportunities to further polish explanation or evaluation.</x:v>
      </x:c>
      <x:c r="E1300" s="36" t="str">
        <x:v>SILO1: analysis/design/implementation compared with object-oriented modelling using objects that combine data structure and behaviour; SILO2: abstract data types and encapsulation to localise and minimise change</x:v>
      </x:c>
      <x:c r="F1300" s="35" t="n">
        <x:v>0.15</x:v>
      </x:c>
      <x:c r="G1300" s="37" t="n">
        <x:f>C1300*F1300</x:f>
        <x:v>13.65</x:v>
      </x:c>
    </x:row>
    <x:row r="1301" ht="15" hidden="0" customHeight="1">
      <x:c r="A1301" s="34" t="str">
        <x:v>STU0119</x:v>
      </x:c>
      <x:c r="B1301" s="35" t="str">
        <x:v>CSE1OOF - Practical demonstration</x:v>
      </x:c>
      <x:c r="C1301" s="35" t="n">
        <x:v>93</x:v>
      </x:c>
      <x:c r="D1301" s="36" t="str">
        <x:v>This excellent result demonstrates confident and independent command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work is clear, accurate and well justified, with only minor opportunities to further polish explanation or evaluation.</x:v>
      </x:c>
      <x:c r="E1301" s="36" t="str">
        <x:v>SILO2: abstract data types and encapsulation to localise and minimise change; SILO3: code sharing and reuse through object-oriented techniques to reduce development time; SILO4: object-oriented design and implementation of computer programs for real-life problems</x:v>
      </x:c>
      <x:c r="F1301" s="35" t="n">
        <x:v>0.2</x:v>
      </x:c>
      <x:c r="G1301" s="37" t="n">
        <x:f>C1301*F1301</x:f>
        <x:v>18.6</x:v>
      </x:c>
    </x:row>
    <x:row r="1302" ht="15" hidden="0" customHeight="1">
      <x:c r="A1302" s="34" t="str">
        <x:v>STU0119</x:v>
      </x:c>
      <x:c r="B1302" s="35" t="str">
        <x:v>CSE1OOF - Assignment</x:v>
      </x:c>
      <x:c r="C1302" s="35" t="n">
        <x:v>90</x:v>
      </x:c>
      <x:c r="D1302" s="36" t="str">
        <x:v>This excellent result demonstrates confident and independent command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work is clear, accurate and well justified, with only minor opportunities to further polish explanation or evaluation.</x:v>
      </x:c>
      <x:c r="E1302" s="36" t="str">
        <x:v>SILO2: abstract data types and encapsulation to localise and minimise change; SILO3: code sharing and reuse through object-oriented techniques to reduce development time; SILO4: object-oriented design and implementation of computer programs for real-life problems</x:v>
      </x:c>
      <x:c r="F1302" s="35" t="n">
        <x:v>0.25</x:v>
      </x:c>
      <x:c r="G1302" s="37" t="n">
        <x:f>C1302*F1302</x:f>
        <x:v>22.5</x:v>
      </x:c>
    </x:row>
    <x:row r="1303" ht="15" hidden="0" customHeight="1">
      <x:c r="A1303" s="34" t="str">
        <x:v>STU0119</x:v>
      </x:c>
      <x:c r="B1303" s="35" t="str">
        <x:v>CSE1OOF - Central examination</x:v>
      </x:c>
      <x:c r="C1303" s="35" t="n">
        <x:v>94</x:v>
      </x:c>
      <x:c r="D1303" s="36" t="str">
        <x:v>This excellent result demonstrates confident and independent command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The work is clear, accurate and well justified, with only minor opportunities to further polish explanation or evaluation.</x:v>
      </x:c>
      <x:c r="E1303"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303" s="35" t="n">
        <x:v>0.4</x:v>
      </x:c>
      <x:c r="G1303" s="37" t="n">
        <x:f>C1303*F1303</x:f>
        <x:v>37.6</x:v>
      </x:c>
    </x:row>
    <x:row r="1304" ht="15" hidden="0" customHeight="1">
      <x:c r="A1304" s="34" t="str">
        <x:v>STU0119</x:v>
      </x:c>
      <x:c r="B1304" s="35" t="str">
        <x:v>CSE2ALG - Test</x:v>
      </x:c>
      <x:c r="C1304" s="35" t="n">
        <x:v>87</x:v>
      </x:c>
      <x:c r="D1304" s="36" t="str">
        <x:v>This excellent result demonstrates confident and independent command of the relevant learning themes, particularly overall objectives of Algorithms and Data Structures, identifying data structures and searching and sorting algorithms in computing contexts, and implementing data structures and searching and sorting algorithms in Java. The work is clear, accurate and well justified, with only minor opportunities to further polish explanation or evaluation.</x:v>
      </x:c>
      <x:c r="E1304" s="36" t="str">
        <x:v>SILO1: overall objectives of Algorithms and Data Structures; SILO2: identifying data structures and searching and sorting algorithms in computing contexts; SILO3: implementing data structures and searching and sorting algorithms in Java</x:v>
      </x:c>
      <x:c r="F1304" s="35" t="n">
        <x:v>0.2</x:v>
      </x:c>
      <x:c r="G1304" s="37" t="n">
        <x:f>C1304*F1304</x:f>
        <x:v>17.400000000000002</x:v>
      </x:c>
    </x:row>
    <x:row r="1305" ht="15" hidden="0" customHeight="1">
      <x:c r="A1305" s="34" t="str">
        <x:v>STU0119</x:v>
      </x:c>
      <x:c r="B1305" s="35" t="str">
        <x:v>CSE2ALG - Assignment</x:v>
      </x:c>
      <x:c r="C1305" s="35" t="n">
        <x:v>88</x:v>
      </x:c>
      <x:c r="D1305" s="36" t="str">
        <x:v>This excellent result demonstrates confident and independent command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The work is clear, accurate and well justified, with only minor opportunities to further polish explanation or evaluation.</x:v>
      </x:c>
      <x:c r="E1305"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305" s="35" t="n">
        <x:v>0.3</x:v>
      </x:c>
      <x:c r="G1305" s="37" t="n">
        <x:f>C1305*F1305</x:f>
        <x:v>26.4</x:v>
      </x:c>
    </x:row>
    <x:row r="1306" ht="15" hidden="0" customHeight="1">
      <x:c r="A1306" s="34" t="str">
        <x:v>STU0119</x:v>
      </x:c>
      <x:c r="B1306" s="35" t="str">
        <x:v>CSE2ALG - Central examination</x:v>
      </x:c>
      <x:c r="C1306" s="35" t="n">
        <x:v>89</x:v>
      </x:c>
      <x:c r="D1306" s="36" t="str">
        <x:v>This excellent result demonstrates confident and independent command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The work is clear, accurate and well justified, with only minor opportunities to further polish explanation or evaluation.</x:v>
      </x:c>
      <x:c r="E1306"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306" s="35" t="n">
        <x:v>0.5</x:v>
      </x:c>
      <x:c r="G1306" s="37" t="n">
        <x:f>C1306*F1306</x:f>
        <x:v>44.5</x:v>
      </x:c>
    </x:row>
    <x:row r="1307" ht="15" hidden="0" customHeight="1">
      <x:c r="A1307" s="34" t="str">
        <x:v>STU0119</x:v>
      </x:c>
      <x:c r="B1307" s="35" t="str">
        <x:v>CSE3CAP - Oral presentation: Project Milestone Presentation</x:v>
      </x:c>
      <x:c r="C1307" s="35" t="n">
        <x:v>91</x:v>
      </x:c>
      <x:c r="D1307" s="36" t="str">
        <x:v>This excellent result demonstrates confident and independent command of the relevant learning themes, particularly reporting project outcomes to technical and non-technical audiences and reflecting on feedback. The work is clear, accurate and well justified, with only minor opportunities to further polish explanation or evaluation.</x:v>
      </x:c>
      <x:c r="E1307" s="36" t="str">
        <x:v>SILO3: reporting project outcomes to technical and non-technical audiences and reflecting on feedback</x:v>
      </x:c>
      <x:c r="F1307" s="35" t="n">
        <x:v>0.1</x:v>
      </x:c>
      <x:c r="G1307" s="37" t="n">
        <x:f>C1307*F1307</x:f>
        <x:v>9.1</x:v>
      </x:c>
    </x:row>
    <x:row r="1308" ht="15" hidden="0" customHeight="1">
      <x:c r="A1308" s="34" t="str">
        <x:v>STU0119</x:v>
      </x:c>
      <x:c r="B1308" s="35" t="str">
        <x:v>CSE3CAP - Oral presentation: Final Project Presentation</x:v>
      </x:c>
      <x:c r="C1308" s="35" t="n">
        <x:v>93</x:v>
      </x:c>
      <x:c r="D1308" s="36" t="str">
        <x:v>This excellent result demonstrates confident and independent command of the relevant learning themes, particularly reporting project outcomes to technical and non-technical audiences and reflecting on feedback. The work is clear, accurate and well justified, with only minor opportunities to further polish explanation or evaluation.</x:v>
      </x:c>
      <x:c r="E1308" s="36" t="str">
        <x:v>SILO3: reporting project outcomes to technical and non-technical audiences and reflecting on feedback</x:v>
      </x:c>
      <x:c r="F1308" s="35" t="n">
        <x:v>0.2</x:v>
      </x:c>
      <x:c r="G1308" s="37" t="n">
        <x:f>C1308*F1308</x:f>
        <x:v>18.6</x:v>
      </x:c>
    </x:row>
    <x:row r="1309" ht="15" hidden="0" customHeight="1">
      <x:c r="A1309" s="34" t="str">
        <x:v>STU0119</x:v>
      </x:c>
      <x:c r="B1309" s="35" t="str">
        <x:v>CSE3CAP - Assignment: Final written Project Report</x:v>
      </x:c>
      <x:c r="C1309" s="35" t="n">
        <x:v>93</x:v>
      </x:c>
      <x:c r="D1309" s="36" t="str">
        <x:v>This excellent result demonstrates confident and independent command of the relevant learning themes, particularly industry standard technical solutions in software or cybersecurity practice and professional system documentation and advanced technical reporting to industry standards. The work is clear, accurate and well justified, with only minor opportunities to further polish explanation or evaluation.</x:v>
      </x:c>
      <x:c r="E1309" s="36" t="str">
        <x:v>SILO2: industry standard technical solutions in software or cybersecurity practice; SILO4: professional system documentation and advanced technical reporting to industry standards</x:v>
      </x:c>
      <x:c r="F1309" s="35" t="n">
        <x:v>0.35</x:v>
      </x:c>
      <x:c r="G1309" s="37" t="n">
        <x:f>C1309*F1309</x:f>
        <x:v>32.55</x:v>
      </x:c>
    </x:row>
    <x:row r="1310" ht="15" hidden="0" customHeight="1">
      <x:c r="A1310" s="34" t="str">
        <x:v>STU0119</x:v>
      </x:c>
      <x:c r="B1310" s="35" t="str">
        <x:v>CSE3CAP - Assignment: Sprint Project management reports</x:v>
      </x:c>
      <x:c r="C1310" s="35" t="n">
        <x:v>89</x:v>
      </x:c>
      <x:c r="D1310" s="36" t="str">
        <x:v>This excellent result demonstrates confident and independent command of the relevant learning themes, particularly advanced project management during substantive development implementation and industry standard technical solutions in software or cybersecurity practice. The work is clear, accurate and well justified, with only minor opportunities to further polish explanation or evaluation.</x:v>
      </x:c>
      <x:c r="E1310" s="36" t="str">
        <x:v>SILO1: advanced project management during substantive development implementation; SILO2: industry standard technical solutions in software or cybersecurity practice</x:v>
      </x:c>
      <x:c r="F1310" s="35" t="n">
        <x:v>0.35</x:v>
      </x:c>
      <x:c r="G1310" s="37" t="n">
        <x:f>C1310*F1310</x:f>
        <x:v>31.15</x:v>
      </x:c>
    </x:row>
    <x:row r="1311" ht="15" hidden="0" customHeight="1">
      <x:c r="A1311" s="34" t="str">
        <x:v>STU0120</x:v>
      </x:c>
      <x:c r="B1311" s="35" t="str">
        <x:v>CSE1OOF - Test</x:v>
      </x:c>
      <x:c r="C1311" s="35" t="n">
        <x:v>89</x:v>
      </x:c>
      <x:c r="D1311" s="36" t="str">
        <x:v>This excellent result demonstrates confident and independent command of the relevant learning themes, particularly analysis/design/implementation compared with object-oriented modelling using objects that combine data structure and behaviour and abstract data types and encapsulation to localise and minimise change. The work is clear, accurate and well justified, with only minor opportunities to further polish explanation or evaluation.</x:v>
      </x:c>
      <x:c r="E1311" s="36" t="str">
        <x:v>SILO1: analysis/design/implementation compared with object-oriented modelling using objects that combine data structure and behaviour; SILO2: abstract data types and encapsulation to localise and minimise change</x:v>
      </x:c>
      <x:c r="F1311" s="35" t="n">
        <x:v>0.15</x:v>
      </x:c>
      <x:c r="G1311" s="37" t="n">
        <x:f>C1311*F1311</x:f>
        <x:v>13.35</x:v>
      </x:c>
    </x:row>
    <x:row r="1312" ht="15" hidden="0" customHeight="1">
      <x:c r="A1312" s="34" t="str">
        <x:v>STU0120</x:v>
      </x:c>
      <x:c r="B1312" s="35" t="str">
        <x:v>CSE1OOF - Practical demonstration</x:v>
      </x:c>
      <x:c r="C1312" s="35" t="n">
        <x:v>85</x:v>
      </x:c>
      <x:c r="D1312" s="36" t="str">
        <x:v>This excellent result demonstrates confident and independent command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work is clear, accurate and well justified, with only minor opportunities to further polish explanation or evaluation.</x:v>
      </x:c>
      <x:c r="E1312" s="36" t="str">
        <x:v>SILO2: abstract data types and encapsulation to localise and minimise change; SILO3: code sharing and reuse through object-oriented techniques to reduce development time; SILO4: object-oriented design and implementation of computer programs for real-life problems</x:v>
      </x:c>
      <x:c r="F1312" s="35" t="n">
        <x:v>0.2</x:v>
      </x:c>
      <x:c r="G1312" s="37" t="n">
        <x:f>C1312*F1312</x:f>
        <x:v>17</x:v>
      </x:c>
    </x:row>
    <x:row r="1313" ht="15" hidden="0" customHeight="1">
      <x:c r="A1313" s="34" t="str">
        <x:v>STU0120</x:v>
      </x:c>
      <x:c r="B1313" s="35" t="str">
        <x:v>CSE1OOF - Assignment</x:v>
      </x:c>
      <x:c r="C1313" s="35" t="n">
        <x:v>86</x:v>
      </x:c>
      <x:c r="D1313" s="36" t="str">
        <x:v>This excellent result demonstrates confident and independent command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work is clear, accurate and well justified, with only minor opportunities to further polish explanation or evaluation.</x:v>
      </x:c>
      <x:c r="E1313" s="36" t="str">
        <x:v>SILO2: abstract data types and encapsulation to localise and minimise change; SILO3: code sharing and reuse through object-oriented techniques to reduce development time; SILO4: object-oriented design and implementation of computer programs for real-life problems</x:v>
      </x:c>
      <x:c r="F1313" s="35" t="n">
        <x:v>0.25</x:v>
      </x:c>
      <x:c r="G1313" s="37" t="n">
        <x:f>C1313*F1313</x:f>
        <x:v>21.5</x:v>
      </x:c>
    </x:row>
    <x:row r="1314" ht="15" hidden="0" customHeight="1">
      <x:c r="A1314" s="34" t="str">
        <x:v>STU0120</x:v>
      </x:c>
      <x:c r="B1314" s="35" t="str">
        <x:v>CSE1OOF - Central examination</x:v>
      </x:c>
      <x:c r="C1314" s="35" t="n">
        <x:v>88</x:v>
      </x:c>
      <x:c r="D1314" s="36" t="str">
        <x:v>This excellent result demonstrates confident and independent command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The work is clear, accurate and well justified, with only minor opportunities to further polish explanation or evaluation.</x:v>
      </x:c>
      <x:c r="E1314"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314" s="35" t="n">
        <x:v>0.4</x:v>
      </x:c>
      <x:c r="G1314" s="37" t="n">
        <x:f>C1314*F1314</x:f>
        <x:v>35.2</x:v>
      </x:c>
    </x:row>
    <x:row r="1315" ht="15" hidden="0" customHeight="1">
      <x:c r="A1315" s="34" t="str">
        <x:v>STU0120</x:v>
      </x:c>
      <x:c r="B1315" s="35" t="str">
        <x:v>CSE2ALG - Test</x:v>
      </x:c>
      <x:c r="C1315" s="35" t="n">
        <x:v>90</x:v>
      </x:c>
      <x:c r="D1315" s="36" t="str">
        <x:v>This excellent result demonstrates confident and independent command of the relevant learning themes, particularly overall objectives of Algorithms and Data Structures, identifying data structures and searching and sorting algorithms in computing contexts, and implementing data structures and searching and sorting algorithms in Java. The work is clear, accurate and well justified, with only minor opportunities to further polish explanation or evaluation.</x:v>
      </x:c>
      <x:c r="E1315" s="36" t="str">
        <x:v>SILO1: overall objectives of Algorithms and Data Structures; SILO2: identifying data structures and searching and sorting algorithms in computing contexts; SILO3: implementing data structures and searching and sorting algorithms in Java</x:v>
      </x:c>
      <x:c r="F1315" s="35" t="n">
        <x:v>0.2</x:v>
      </x:c>
      <x:c r="G1315" s="37" t="n">
        <x:f>C1315*F1315</x:f>
        <x:v>18</x:v>
      </x:c>
    </x:row>
    <x:row r="1316" ht="15" hidden="0" customHeight="1">
      <x:c r="A1316" s="34" t="str">
        <x:v>STU0120</x:v>
      </x:c>
      <x:c r="B1316" s="35" t="str">
        <x:v>CSE2ALG - Assignment</x:v>
      </x:c>
      <x:c r="C1316" s="35" t="n">
        <x:v>91</x:v>
      </x:c>
      <x:c r="D1316" s="36" t="str">
        <x:v>This excellent result demonstrates confident and independent command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The work is clear, accurate and well justified, with only minor opportunities to further polish explanation or evaluation.</x:v>
      </x:c>
      <x:c r="E1316"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316" s="35" t="n">
        <x:v>0.3</x:v>
      </x:c>
      <x:c r="G1316" s="37" t="n">
        <x:f>C1316*F1316</x:f>
        <x:v>27.3</x:v>
      </x:c>
    </x:row>
    <x:row r="1317" ht="15" hidden="0" customHeight="1">
      <x:c r="A1317" s="34" t="str">
        <x:v>STU0120</x:v>
      </x:c>
      <x:c r="B1317" s="35" t="str">
        <x:v>CSE2ALG - Central examination</x:v>
      </x:c>
      <x:c r="C1317" s="35" t="n">
        <x:v>87</x:v>
      </x:c>
      <x:c r="D1317" s="36" t="str">
        <x:v>This excellent result demonstrates confident and independent command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The work is clear, accurate and well justified, with only minor opportunities to further polish explanation or evaluation.</x:v>
      </x:c>
      <x:c r="E1317"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317" s="35" t="n">
        <x:v>0.5</x:v>
      </x:c>
      <x:c r="G1317" s="37" t="n">
        <x:f>C1317*F1317</x:f>
        <x:v>43.5</x:v>
      </x:c>
    </x:row>
    <x:row r="1318" ht="15" hidden="0" customHeight="1">
      <x:c r="A1318" s="34" t="str">
        <x:v>STU0120</x:v>
      </x:c>
      <x:c r="B1318" s="35" t="str">
        <x:v>CSE3CAP - Oral presentation: Project Milestone Presentation</x:v>
      </x:c>
      <x:c r="C1318" s="35" t="n">
        <x:v>94</x:v>
      </x:c>
      <x:c r="D1318" s="36" t="str">
        <x:v>This excellent result demonstrates confident and independent command of the relevant learning themes, particularly reporting project outcomes to technical and non-technical audiences and reflecting on feedback. The work is clear, accurate and well justified, with only minor opportunities to further polish explanation or evaluation.</x:v>
      </x:c>
      <x:c r="E1318" s="36" t="str">
        <x:v>SILO3: reporting project outcomes to technical and non-technical audiences and reflecting on feedback</x:v>
      </x:c>
      <x:c r="F1318" s="35" t="n">
        <x:v>0.1</x:v>
      </x:c>
      <x:c r="G1318" s="37" t="n">
        <x:f>C1318*F1318</x:f>
        <x:v>9.4</x:v>
      </x:c>
    </x:row>
    <x:row r="1319" ht="15" hidden="0" customHeight="1">
      <x:c r="A1319" s="34" t="str">
        <x:v>STU0120</x:v>
      </x:c>
      <x:c r="B1319" s="35" t="str">
        <x:v>CSE3CAP - Oral presentation: Final Project Presentation</x:v>
      </x:c>
      <x:c r="C1319" s="35" t="n">
        <x:v>88</x:v>
      </x:c>
      <x:c r="D1319" s="36" t="str">
        <x:v>This excellent result demonstrates confident and independent command of the relevant learning themes, particularly reporting project outcomes to technical and non-technical audiences and reflecting on feedback. The work is clear, accurate and well justified, with only minor opportunities to further polish explanation or evaluation.</x:v>
      </x:c>
      <x:c r="E1319" s="36" t="str">
        <x:v>SILO3: reporting project outcomes to technical and non-technical audiences and reflecting on feedback</x:v>
      </x:c>
      <x:c r="F1319" s="35" t="n">
        <x:v>0.2</x:v>
      </x:c>
      <x:c r="G1319" s="37" t="n">
        <x:f>C1319*F1319</x:f>
        <x:v>17.6</x:v>
      </x:c>
    </x:row>
    <x:row r="1320" ht="15" hidden="0" customHeight="1">
      <x:c r="A1320" s="34" t="str">
        <x:v>STU0120</x:v>
      </x:c>
      <x:c r="B1320" s="35" t="str">
        <x:v>CSE3CAP - Assignment: Final written Project Report</x:v>
      </x:c>
      <x:c r="C1320" s="35" t="n">
        <x:v>89</x:v>
      </x:c>
      <x:c r="D1320" s="36" t="str">
        <x:v>This excellent result demonstrates confident and independent command of the relevant learning themes, particularly industry standard technical solutions in software or cybersecurity practice and professional system documentation and advanced technical reporting to industry standards. The work is clear, accurate and well justified, with only minor opportunities to further polish explanation or evaluation.</x:v>
      </x:c>
      <x:c r="E1320" s="36" t="str">
        <x:v>SILO2: industry standard technical solutions in software or cybersecurity practice; SILO4: professional system documentation and advanced technical reporting to industry standards</x:v>
      </x:c>
      <x:c r="F1320" s="35" t="n">
        <x:v>0.35</x:v>
      </x:c>
      <x:c r="G1320" s="37" t="n">
        <x:f>C1320*F1320</x:f>
        <x:v>31.15</x:v>
      </x:c>
    </x:row>
    <x:row r="1321" ht="15" hidden="0" customHeight="1">
      <x:c r="A1321" s="34" t="str">
        <x:v>STU0120</x:v>
      </x:c>
      <x:c r="B1321" s="35" t="str">
        <x:v>CSE3CAP - Assignment: Sprint Project management reports</x:v>
      </x:c>
      <x:c r="C1321" s="35" t="n">
        <x:v>91</x:v>
      </x:c>
      <x:c r="D1321" s="36" t="str">
        <x:v>This excellent result demonstrates confident and independent command of the relevant learning themes, particularly advanced project management during substantive development implementation and industry standard technical solutions in software or cybersecurity practice. The work is clear, accurate and well justified, with only minor opportunities to further polish explanation or evaluation.</x:v>
      </x:c>
      <x:c r="E1321" s="36" t="str">
        <x:v>SILO1: advanced project management during substantive development implementation; SILO2: industry standard technical solutions in software or cybersecurity practice</x:v>
      </x:c>
      <x:c r="F1321" s="35" t="n">
        <x:v>0.35</x:v>
      </x:c>
      <x:c r="G1321" s="37" t="n">
        <x:f>C1321*F1321</x:f>
        <x:v>31.849999999999998</x:v>
      </x:c>
    </x:row>
    <x:row r="1322" ht="15" hidden="0" customHeight="1">
      <x:c r="A1322" s="34" t="str">
        <x:v>STU0121</x:v>
      </x:c>
      <x:c r="B1322" s="35" t="str">
        <x:v>CSE1OOF - Test</x:v>
      </x:c>
      <x:c r="C1322" s="35" t="n">
        <x:v>60</x:v>
      </x:c>
      <x:c r="D1322"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1322" s="36" t="str">
        <x:v>SILO1: analysis/design/implementation compared with object-oriented modelling using objects that combine data structure and behaviour; SILO2: abstract data types and encapsulation to localise and minimise change</x:v>
      </x:c>
      <x:c r="F1322" s="35" t="n">
        <x:v>0.15</x:v>
      </x:c>
      <x:c r="G1322" s="37" t="n">
        <x:f>C1322*F1322</x:f>
        <x:v>9</x:v>
      </x:c>
    </x:row>
    <x:row r="1323" ht="15" hidden="0" customHeight="1">
      <x:c r="A1323" s="34" t="str">
        <x:v>STU0121</x:v>
      </x:c>
      <x:c r="B1323" s="35" t="str">
        <x:v>CSE1OOF - Practical demonstration</x:v>
      </x:c>
      <x:c r="C1323" s="35" t="n">
        <x:v>66</x:v>
      </x:c>
      <x:c r="D1323"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323" s="36" t="str">
        <x:v>SILO2: abstract data types and encapsulation to localise and minimise change; SILO3: code sharing and reuse through object-oriented techniques to reduce development time; SILO4: object-oriented design and implementation of computer programs for real-life problems</x:v>
      </x:c>
      <x:c r="F1323" s="35" t="n">
        <x:v>0.2</x:v>
      </x:c>
      <x:c r="G1323" s="37" t="n">
        <x:f>C1323*F1323</x:f>
        <x:v>13.200000000000001</x:v>
      </x:c>
    </x:row>
    <x:row r="1324" ht="15" hidden="0" customHeight="1">
      <x:c r="A1324" s="34" t="str">
        <x:v>STU0121</x:v>
      </x:c>
      <x:c r="B1324" s="35" t="str">
        <x:v>CSE1OOF - Assignment</x:v>
      </x:c>
      <x:c r="C1324" s="35" t="n">
        <x:v>65</x:v>
      </x:c>
      <x:c r="D1324"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324" s="36" t="str">
        <x:v>SILO2: abstract data types and encapsulation to localise and minimise change; SILO3: code sharing and reuse through object-oriented techniques to reduce development time; SILO4: object-oriented design and implementation of computer programs for real-life problems</x:v>
      </x:c>
      <x:c r="F1324" s="35" t="n">
        <x:v>0.25</x:v>
      </x:c>
      <x:c r="G1324" s="37" t="n">
        <x:f>C1324*F1324</x:f>
        <x:v>16.25</x:v>
      </x:c>
    </x:row>
    <x:row r="1325" ht="15" hidden="0" customHeight="1">
      <x:c r="A1325" s="34" t="str">
        <x:v>STU0121</x:v>
      </x:c>
      <x:c r="B1325" s="35" t="str">
        <x:v>CSE1OOF - Central examination</x:v>
      </x:c>
      <x:c r="C1325" s="35" t="n">
        <x:v>63</x:v>
      </x:c>
      <x:c r="D1325" s="36" t="str">
        <x:v>This developing result meets the core requirements but needs greater consistency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Future work should focus on consolidating the underlying concepts, applying them more consistently and explaining design or implementation decisions with stronger evidence.</x:v>
      </x:c>
      <x:c r="E1325"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325" s="35" t="n">
        <x:v>0.4</x:v>
      </x:c>
      <x:c r="G1325" s="37" t="n">
        <x:f>C1325*F1325</x:f>
        <x:v>25.200000000000003</x:v>
      </x:c>
    </x:row>
    <x:row r="1326" ht="15" hidden="0" customHeight="1">
      <x:c r="A1326" s="34" t="str">
        <x:v>STU0121</x:v>
      </x:c>
      <x:c r="B1326" s="35" t="str">
        <x:v>CSE2ALG - Test</x:v>
      </x:c>
      <x:c r="C1326" s="35" t="n">
        <x:v>68</x:v>
      </x:c>
      <x:c r="D1326"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1326" s="36" t="str">
        <x:v>SILO1: overall objectives of Algorithms and Data Structures; SILO2: identifying data structures and searching and sorting algorithms in computing contexts; SILO3: implementing data structures and searching and sorting algorithms in Java</x:v>
      </x:c>
      <x:c r="F1326" s="35" t="n">
        <x:v>0.2</x:v>
      </x:c>
      <x:c r="G1326" s="37" t="n">
        <x:f>C1326*F1326</x:f>
        <x:v>13.600000000000001</x:v>
      </x:c>
    </x:row>
    <x:row r="1327" ht="15" hidden="0" customHeight="1">
      <x:c r="A1327" s="34" t="str">
        <x:v>STU0121</x:v>
      </x:c>
      <x:c r="B1327" s="35" t="str">
        <x:v>CSE2ALG - Assignment</x:v>
      </x:c>
      <x:c r="C1327" s="35" t="n">
        <x:v>65</x:v>
      </x:c>
      <x:c r="D1327" s="36" t="str">
        <x:v>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x:v>
      </x:c>
      <x:c r="E1327"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327" s="35" t="n">
        <x:v>0.3</x:v>
      </x:c>
      <x:c r="G1327" s="37" t="n">
        <x:f>C1327*F1327</x:f>
        <x:v>19.5</x:v>
      </x:c>
    </x:row>
    <x:row r="1328" ht="15" hidden="0" customHeight="1">
      <x:c r="A1328" s="34" t="str">
        <x:v>STU0121</x:v>
      </x:c>
      <x:c r="B1328" s="35" t="str">
        <x:v>CSE2ALG - Central examination</x:v>
      </x:c>
      <x:c r="C1328" s="35" t="n">
        <x:v>65</x:v>
      </x:c>
      <x:c r="D1328"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1328"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328" s="35" t="n">
        <x:v>0.5</x:v>
      </x:c>
      <x:c r="G1328" s="37" t="n">
        <x:f>C1328*F1328</x:f>
        <x:v>32.5</x:v>
      </x:c>
    </x:row>
    <x:row r="1329" ht="15" hidden="0" customHeight="1">
      <x:c r="A1329" s="34" t="str">
        <x:v>STU0121</x:v>
      </x:c>
      <x:c r="B1329" s="35" t="str">
        <x:v>CSE3CAP - Oral presentation: Project Milestone Presentation</x:v>
      </x:c>
      <x:c r="C1329" s="35" t="n">
        <x:v>69</x:v>
      </x:c>
      <x:c r="D1329"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1329" s="36" t="str">
        <x:v>SILO3: reporting project outcomes to technical and non-technical audiences and reflecting on feedback</x:v>
      </x:c>
      <x:c r="F1329" s="35" t="n">
        <x:v>0.1</x:v>
      </x:c>
      <x:c r="G1329" s="37" t="n">
        <x:f>C1329*F1329</x:f>
        <x:v>6.9</x:v>
      </x:c>
    </x:row>
    <x:row r="1330" ht="15" hidden="0" customHeight="1">
      <x:c r="A1330" s="34" t="str">
        <x:v>STU0121</x:v>
      </x:c>
      <x:c r="B1330" s="35" t="str">
        <x:v>CSE3CAP - Oral presentation: Final Project Presentation</x:v>
      </x:c>
      <x:c r="C1330" s="35" t="n">
        <x:v>67</x:v>
      </x:c>
      <x:c r="D1330"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1330" s="36" t="str">
        <x:v>SILO3: reporting project outcomes to technical and non-technical audiences and reflecting on feedback</x:v>
      </x:c>
      <x:c r="F1330" s="35" t="n">
        <x:v>0.2</x:v>
      </x:c>
      <x:c r="G1330" s="37" t="n">
        <x:f>C1330*F1330</x:f>
        <x:v>13.4</x:v>
      </x:c>
    </x:row>
    <x:row r="1331" ht="15" hidden="0" customHeight="1">
      <x:c r="A1331" s="34" t="str">
        <x:v>STU0121</x:v>
      </x:c>
      <x:c r="B1331" s="35" t="str">
        <x:v>CSE3CAP - Assignment: Final written Project Report</x:v>
      </x:c>
      <x:c r="C1331" s="35" t="n">
        <x:v>67</x:v>
      </x:c>
      <x:c r="D1331" s="36" t="str">
        <x:v>This sound result shows a competent and generally reliable grasp of the relevant learning themes, particularly industry standard technical solutions in software or cybersecurity practice and professional system documentation and advanced technical reporting to industry standards. To strengthen the result, the student should provide clearer reasoning, improve technical precision and show more complete testing or reflection.</x:v>
      </x:c>
      <x:c r="E1331" s="36" t="str">
        <x:v>SILO2: industry standard technical solutions in software or cybersecurity practice; SILO4: professional system documentation and advanced technical reporting to industry standards</x:v>
      </x:c>
      <x:c r="F1331" s="35" t="n">
        <x:v>0.35</x:v>
      </x:c>
      <x:c r="G1331" s="37" t="n">
        <x:f>C1331*F1331</x:f>
        <x:v>23.45</x:v>
      </x:c>
    </x:row>
    <x:row r="1332" ht="15" hidden="0" customHeight="1">
      <x:c r="A1332" s="34" t="str">
        <x:v>STU0121</x:v>
      </x:c>
      <x:c r="B1332" s="35" t="str">
        <x:v>CSE3CAP - Assignment: Sprint Project management reports</x:v>
      </x:c>
      <x:c r="C1332" s="35" t="n">
        <x:v>63</x:v>
      </x:c>
      <x:c r="D1332"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1332" s="36" t="str">
        <x:v>SILO1: advanced project management during substantive development implementation; SILO2: industry standard technical solutions in software or cybersecurity practice</x:v>
      </x:c>
      <x:c r="F1332" s="35" t="n">
        <x:v>0.35</x:v>
      </x:c>
      <x:c r="G1332" s="37" t="n">
        <x:f>C1332*F1332</x:f>
        <x:v>22.049999999999997</x:v>
      </x:c>
    </x:row>
    <x:row r="1333" ht="15" hidden="0" customHeight="1">
      <x:c r="A1333" s="34" t="str">
        <x:v>STU0122</x:v>
      </x:c>
      <x:c r="B1333" s="35" t="str">
        <x:v>CSE1OOF - Test</x:v>
      </x:c>
      <x:c r="C1333" s="35" t="n">
        <x:v>73</x:v>
      </x:c>
      <x:c r="D1333"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1333" s="36" t="str">
        <x:v>SILO1: analysis/design/implementation compared with object-oriented modelling using objects that combine data structure and behaviour; SILO2: abstract data types and encapsulation to localise and minimise change</x:v>
      </x:c>
      <x:c r="F1333" s="35" t="n">
        <x:v>0.15</x:v>
      </x:c>
      <x:c r="G1333" s="37" t="n">
        <x:f>C1333*F1333</x:f>
        <x:v>10.95</x:v>
      </x:c>
    </x:row>
    <x:row r="1334" ht="15" hidden="0" customHeight="1">
      <x:c r="A1334" s="34" t="str">
        <x:v>STU0122</x:v>
      </x:c>
      <x:c r="B1334" s="35" t="str">
        <x:v>CSE1OOF - Practical demonstration</x:v>
      </x:c>
      <x:c r="C1334" s="35" t="n">
        <x:v>70</x:v>
      </x:c>
      <x:c r="D1334"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334" s="36" t="str">
        <x:v>SILO2: abstract data types and encapsulation to localise and minimise change; SILO3: code sharing and reuse through object-oriented techniques to reduce development time; SILO4: object-oriented design and implementation of computer programs for real-life problems</x:v>
      </x:c>
      <x:c r="F1334" s="35" t="n">
        <x:v>0.2</x:v>
      </x:c>
      <x:c r="G1334" s="37" t="n">
        <x:f>C1334*F1334</x:f>
        <x:v>14</x:v>
      </x:c>
    </x:row>
    <x:row r="1335" ht="15" hidden="0" customHeight="1">
      <x:c r="A1335" s="34" t="str">
        <x:v>STU0122</x:v>
      </x:c>
      <x:c r="B1335" s="35" t="str">
        <x:v>CSE1OOF - Assignment</x:v>
      </x:c>
      <x:c r="C1335" s="35" t="n">
        <x:v>68</x:v>
      </x:c>
      <x:c r="D1335"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335" s="36" t="str">
        <x:v>SILO2: abstract data types and encapsulation to localise and minimise change; SILO3: code sharing and reuse through object-oriented techniques to reduce development time; SILO4: object-oriented design and implementation of computer programs for real-life problems</x:v>
      </x:c>
      <x:c r="F1335" s="35" t="n">
        <x:v>0.25</x:v>
      </x:c>
      <x:c r="G1335" s="37" t="n">
        <x:f>C1335*F1335</x:f>
        <x:v>17</x:v>
      </x:c>
    </x:row>
    <x:row r="1336" ht="15" hidden="0" customHeight="1">
      <x:c r="A1336" s="34" t="str">
        <x:v>STU0122</x:v>
      </x:c>
      <x:c r="B1336" s="35" t="str">
        <x:v>CSE1OOF - Central examination</x:v>
      </x:c>
      <x:c r="C1336" s="35" t="n">
        <x:v>71</x:v>
      </x:c>
      <x:c r="D1336"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1336"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336" s="35" t="n">
        <x:v>0.4</x:v>
      </x:c>
      <x:c r="G1336" s="37" t="n">
        <x:f>C1336*F1336</x:f>
        <x:v>28.400000000000002</x:v>
      </x:c>
    </x:row>
    <x:row r="1337" ht="15" hidden="0" customHeight="1">
      <x:c r="A1337" s="34" t="str">
        <x:v>STU0122</x:v>
      </x:c>
      <x:c r="B1337" s="35" t="str">
        <x:v>CSE2ALG - Test</x:v>
      </x:c>
      <x:c r="C1337" s="35" t="n">
        <x:v>65</x:v>
      </x:c>
      <x:c r="D1337"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1337" s="36" t="str">
        <x:v>SILO1: overall objectives of Algorithms and Data Structures; SILO2: identifying data structures and searching and sorting algorithms in computing contexts; SILO3: implementing data structures and searching and sorting algorithms in Java</x:v>
      </x:c>
      <x:c r="F1337" s="35" t="n">
        <x:v>0.2</x:v>
      </x:c>
      <x:c r="G1337" s="37" t="n">
        <x:f>C1337*F1337</x:f>
        <x:v>13</x:v>
      </x:c>
    </x:row>
    <x:row r="1338" ht="15" hidden="0" customHeight="1">
      <x:c r="A1338" s="34" t="str">
        <x:v>STU0122</x:v>
      </x:c>
      <x:c r="B1338" s="35" t="str">
        <x:v>CSE2ALG - Assignment</x:v>
      </x:c>
      <x:c r="C1338" s="35" t="n">
        <x:v>70</x:v>
      </x:c>
      <x:c r="D1338" s="36" t="str">
        <x:v>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x:v>
      </x:c>
      <x:c r="E1338"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338" s="35" t="n">
        <x:v>0.3</x:v>
      </x:c>
      <x:c r="G1338" s="37" t="n">
        <x:f>C1338*F1338</x:f>
        <x:v>21</x:v>
      </x:c>
    </x:row>
    <x:row r="1339" ht="15" hidden="0" customHeight="1">
      <x:c r="A1339" s="34" t="str">
        <x:v>STU0122</x:v>
      </x:c>
      <x:c r="B1339" s="35" t="str">
        <x:v>CSE2ALG - Central examination</x:v>
      </x:c>
      <x:c r="C1339" s="35" t="n">
        <x:v>69</x:v>
      </x:c>
      <x:c r="D1339"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1339"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339" s="35" t="n">
        <x:v>0.5</x:v>
      </x:c>
      <x:c r="G1339" s="37" t="n">
        <x:f>C1339*F1339</x:f>
        <x:v>34.5</x:v>
      </x:c>
    </x:row>
    <x:row r="1340" ht="15" hidden="0" customHeight="1">
      <x:c r="A1340" s="34" t="str">
        <x:v>STU0122</x:v>
      </x:c>
      <x:c r="B1340" s="35" t="str">
        <x:v>CSE3CAP - Oral presentation: Project Milestone Presentation</x:v>
      </x:c>
      <x:c r="C1340" s="35" t="n">
        <x:v>68</x:v>
      </x:c>
      <x:c r="D1340"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1340" s="36" t="str">
        <x:v>SILO3: reporting project outcomes to technical and non-technical audiences and reflecting on feedback</x:v>
      </x:c>
      <x:c r="F1340" s="35" t="n">
        <x:v>0.1</x:v>
      </x:c>
      <x:c r="G1340" s="37" t="n">
        <x:f>C1340*F1340</x:f>
        <x:v>6.800000000000001</x:v>
      </x:c>
    </x:row>
    <x:row r="1341" ht="15" hidden="0" customHeight="1">
      <x:c r="A1341" s="34" t="str">
        <x:v>STU0122</x:v>
      </x:c>
      <x:c r="B1341" s="35" t="str">
        <x:v>CSE3CAP - Oral presentation: Final Project Presentation</x:v>
      </x:c>
      <x:c r="C1341" s="35" t="n">
        <x:v>74</x:v>
      </x:c>
      <x:c r="D1341"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1341" s="36" t="str">
        <x:v>SILO3: reporting project outcomes to technical and non-technical audiences and reflecting on feedback</x:v>
      </x:c>
      <x:c r="F1341" s="35" t="n">
        <x:v>0.2</x:v>
      </x:c>
      <x:c r="G1341" s="37" t="n">
        <x:f>C1341*F1341</x:f>
        <x:v>14.8</x:v>
      </x:c>
    </x:row>
    <x:row r="1342" ht="15" hidden="0" customHeight="1">
      <x:c r="A1342" s="34" t="str">
        <x:v>STU0122</x:v>
      </x:c>
      <x:c r="B1342" s="35" t="str">
        <x:v>CSE3CAP - Assignment: Final written Project Report</x:v>
      </x:c>
      <x:c r="C1342" s="35" t="n">
        <x:v>69</x:v>
      </x:c>
      <x:c r="D1342" s="36" t="str">
        <x:v>This sound result shows a competent and generally reliable grasp of the relevant learning themes, particularly industry standard technical solutions in software or cybersecurity practice and professional system documentation and advanced technical reporting to industry standards. To strengthen the result, the student should provide clearer reasoning, improve technical precision and show more complete testing or reflection.</x:v>
      </x:c>
      <x:c r="E1342" s="36" t="str">
        <x:v>SILO2: industry standard technical solutions in software or cybersecurity practice; SILO4: professional system documentation and advanced technical reporting to industry standards</x:v>
      </x:c>
      <x:c r="F1342" s="35" t="n">
        <x:v>0.35</x:v>
      </x:c>
      <x:c r="G1342" s="37" t="n">
        <x:f>C1342*F1342</x:f>
        <x:v>24.15</x:v>
      </x:c>
    </x:row>
    <x:row r="1343" ht="15" hidden="0" customHeight="1">
      <x:c r="A1343" s="34" t="str">
        <x:v>STU0122</x:v>
      </x:c>
      <x:c r="B1343" s="35" t="str">
        <x:v>CSE3CAP - Assignment: Sprint Project management reports</x:v>
      </x:c>
      <x:c r="C1343" s="35" t="n">
        <x:v>68</x:v>
      </x:c>
      <x:c r="D1343" s="36" t="str">
        <x:v>This sound result shows a competent and generally reliable grasp of the relevant learning themes, particularly advanced project management during substantive development implementation and industry standard technical solutions in software or cybersecurity practice. To strengthen the result, the student should provide clearer reasoning, improve technical precision and show more complete testing or reflection.</x:v>
      </x:c>
      <x:c r="E1343" s="36" t="str">
        <x:v>SILO1: advanced project management during substantive development implementation; SILO2: industry standard technical solutions in software or cybersecurity practice</x:v>
      </x:c>
      <x:c r="F1343" s="35" t="n">
        <x:v>0.35</x:v>
      </x:c>
      <x:c r="G1343" s="37" t="n">
        <x:f>C1343*F1343</x:f>
        <x:v>23.799999999999997</x:v>
      </x:c>
    </x:row>
    <x:row r="1344" ht="15" hidden="0" customHeight="1">
      <x:c r="A1344" s="34" t="str">
        <x:v>STU0123</x:v>
      </x:c>
      <x:c r="B1344" s="35" t="str">
        <x:v>CSE1OOF - Test</x:v>
      </x:c>
      <x:c r="C1344" s="35" t="n">
        <x:v>66</x:v>
      </x:c>
      <x:c r="D1344"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1344" s="36" t="str">
        <x:v>SILO1: analysis/design/implementation compared with object-oriented modelling using objects that combine data structure and behaviour; SILO2: abstract data types and encapsulation to localise and minimise change</x:v>
      </x:c>
      <x:c r="F1344" s="35" t="n">
        <x:v>0.15</x:v>
      </x:c>
      <x:c r="G1344" s="37" t="n">
        <x:f>C1344*F1344</x:f>
        <x:v>9.9</x:v>
      </x:c>
    </x:row>
    <x:row r="1345" ht="15" hidden="0" customHeight="1">
      <x:c r="A1345" s="34" t="str">
        <x:v>STU0123</x:v>
      </x:c>
      <x:c r="B1345" s="35" t="str">
        <x:v>CSE1OOF - Practical demonstration</x:v>
      </x:c>
      <x:c r="C1345" s="35" t="n">
        <x:v>63</x:v>
      </x:c>
      <x:c r="D1345"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345" s="36" t="str">
        <x:v>SILO2: abstract data types and encapsulation to localise and minimise change; SILO3: code sharing and reuse through object-oriented techniques to reduce development time; SILO4: object-oriented design and implementation of computer programs for real-life problems</x:v>
      </x:c>
      <x:c r="F1345" s="35" t="n">
        <x:v>0.2</x:v>
      </x:c>
      <x:c r="G1345" s="37" t="n">
        <x:f>C1345*F1345</x:f>
        <x:v>12.600000000000001</x:v>
      </x:c>
    </x:row>
    <x:row r="1346" ht="15" hidden="0" customHeight="1">
      <x:c r="A1346" s="34" t="str">
        <x:v>STU0123</x:v>
      </x:c>
      <x:c r="B1346" s="35" t="str">
        <x:v>CSE1OOF - Assignment</x:v>
      </x:c>
      <x:c r="C1346" s="35" t="n">
        <x:v>67</x:v>
      </x:c>
      <x:c r="D1346"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346" s="36" t="str">
        <x:v>SILO2: abstract data types and encapsulation to localise and minimise change; SILO3: code sharing and reuse through object-oriented techniques to reduce development time; SILO4: object-oriented design and implementation of computer programs for real-life problems</x:v>
      </x:c>
      <x:c r="F1346" s="35" t="n">
        <x:v>0.25</x:v>
      </x:c>
      <x:c r="G1346" s="37" t="n">
        <x:f>C1346*F1346</x:f>
        <x:v>16.75</x:v>
      </x:c>
    </x:row>
    <x:row r="1347" ht="15" hidden="0" customHeight="1">
      <x:c r="A1347" s="34" t="str">
        <x:v>STU0123</x:v>
      </x:c>
      <x:c r="B1347" s="35" t="str">
        <x:v>CSE1OOF - Central examination</x:v>
      </x:c>
      <x:c r="C1347" s="35" t="n">
        <x:v>64</x:v>
      </x:c>
      <x:c r="D1347" s="36" t="str">
        <x:v>This developing result meets the core requirements but needs greater consistency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Future work should focus on consolidating the underlying concepts, applying them more consistently and explaining design or implementation decisions with stronger evidence.</x:v>
      </x:c>
      <x:c r="E1347"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347" s="35" t="n">
        <x:v>0.4</x:v>
      </x:c>
      <x:c r="G1347" s="37" t="n">
        <x:f>C1347*F1347</x:f>
        <x:v>25.6</x:v>
      </x:c>
    </x:row>
    <x:row r="1348" ht="15" hidden="0" customHeight="1">
      <x:c r="A1348" s="34" t="str">
        <x:v>STU0123</x:v>
      </x:c>
      <x:c r="B1348" s="35" t="str">
        <x:v>CSE2ALG - Test</x:v>
      </x:c>
      <x:c r="C1348" s="35" t="n">
        <x:v>66</x:v>
      </x:c>
      <x:c r="D1348"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1348" s="36" t="str">
        <x:v>SILO1: overall objectives of Algorithms and Data Structures; SILO2: identifying data structures and searching and sorting algorithms in computing contexts; SILO3: implementing data structures and searching and sorting algorithms in Java</x:v>
      </x:c>
      <x:c r="F1348" s="35" t="n">
        <x:v>0.2</x:v>
      </x:c>
      <x:c r="G1348" s="37" t="n">
        <x:f>C1348*F1348</x:f>
        <x:v>13.200000000000001</x:v>
      </x:c>
    </x:row>
    <x:row r="1349" ht="15" hidden="0" customHeight="1">
      <x:c r="A1349" s="34" t="str">
        <x:v>STU0123</x:v>
      </x:c>
      <x:c r="B1349" s="35" t="str">
        <x:v>CSE2ALG - Assignment</x:v>
      </x:c>
      <x:c r="C1349" s="35" t="n">
        <x:v>69</x:v>
      </x:c>
      <x:c r="D1349" s="36" t="str">
        <x:v>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x:v>
      </x:c>
      <x:c r="E1349"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349" s="35" t="n">
        <x:v>0.3</x:v>
      </x:c>
      <x:c r="G1349" s="37" t="n">
        <x:f>C1349*F1349</x:f>
        <x:v>20.7</x:v>
      </x:c>
    </x:row>
    <x:row r="1350" ht="15" hidden="0" customHeight="1">
      <x:c r="A1350" s="34" t="str">
        <x:v>STU0123</x:v>
      </x:c>
      <x:c r="B1350" s="35" t="str">
        <x:v>CSE2ALG - Central examination</x:v>
      </x:c>
      <x:c r="C1350" s="35" t="n">
        <x:v>72</x:v>
      </x:c>
      <x:c r="D1350"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1350"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350" s="35" t="n">
        <x:v>0.5</x:v>
      </x:c>
      <x:c r="G1350" s="37" t="n">
        <x:f>C1350*F1350</x:f>
        <x:v>36</x:v>
      </x:c>
    </x:row>
    <x:row r="1351" ht="15" hidden="0" customHeight="1">
      <x:c r="A1351" s="34" t="str">
        <x:v>STU0123</x:v>
      </x:c>
      <x:c r="B1351" s="35" t="str">
        <x:v>CSE3CAP - Oral presentation: Project Milestone Presentation</x:v>
      </x:c>
      <x:c r="C1351" s="35" t="n">
        <x:v>68</x:v>
      </x:c>
      <x:c r="D1351"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1351" s="36" t="str">
        <x:v>SILO3: reporting project outcomes to technical and non-technical audiences and reflecting on feedback</x:v>
      </x:c>
      <x:c r="F1351" s="35" t="n">
        <x:v>0.1</x:v>
      </x:c>
      <x:c r="G1351" s="37" t="n">
        <x:f>C1351*F1351</x:f>
        <x:v>6.800000000000001</x:v>
      </x:c>
    </x:row>
    <x:row r="1352" ht="15" hidden="0" customHeight="1">
      <x:c r="A1352" s="34" t="str">
        <x:v>STU0123</x:v>
      </x:c>
      <x:c r="B1352" s="35" t="str">
        <x:v>CSE3CAP - Oral presentation: Final Project Presentation</x:v>
      </x:c>
      <x:c r="C1352" s="35" t="n">
        <x:v>71</x:v>
      </x:c>
      <x:c r="D1352"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1352" s="36" t="str">
        <x:v>SILO3: reporting project outcomes to technical and non-technical audiences and reflecting on feedback</x:v>
      </x:c>
      <x:c r="F1352" s="35" t="n">
        <x:v>0.2</x:v>
      </x:c>
      <x:c r="G1352" s="37" t="n">
        <x:f>C1352*F1352</x:f>
        <x:v>14.200000000000001</x:v>
      </x:c>
    </x:row>
    <x:row r="1353" ht="15" hidden="0" customHeight="1">
      <x:c r="A1353" s="34" t="str">
        <x:v>STU0123</x:v>
      </x:c>
      <x:c r="B1353" s="35" t="str">
        <x:v>CSE3CAP - Assignment: Final written Project Report</x:v>
      </x:c>
      <x:c r="C1353" s="35" t="n">
        <x:v>72</x:v>
      </x:c>
      <x:c r="D1353" s="36" t="str">
        <x:v>This sound result shows a competent and generally reliable grasp of the relevant learning themes, particularly industry standard technical solutions in software or cybersecurity practice and professional system documentation and advanced technical reporting to industry standards. To strengthen the result, the student should provide clearer reasoning, improve technical precision and show more complete testing or reflection.</x:v>
      </x:c>
      <x:c r="E1353" s="36" t="str">
        <x:v>SILO2: industry standard technical solutions in software or cybersecurity practice; SILO4: professional system documentation and advanced technical reporting to industry standards</x:v>
      </x:c>
      <x:c r="F1353" s="35" t="n">
        <x:v>0.35</x:v>
      </x:c>
      <x:c r="G1353" s="37" t="n">
        <x:f>C1353*F1353</x:f>
        <x:v>25.2</x:v>
      </x:c>
    </x:row>
    <x:row r="1354" ht="15" hidden="0" customHeight="1">
      <x:c r="A1354" s="34" t="str">
        <x:v>STU0123</x:v>
      </x:c>
      <x:c r="B1354" s="35" t="str">
        <x:v>CSE3CAP - Assignment: Sprint Project management reports</x:v>
      </x:c>
      <x:c r="C1354" s="35" t="n">
        <x:v>73</x:v>
      </x:c>
      <x:c r="D1354" s="36" t="str">
        <x:v>This sound result shows a competent and generally reliable grasp of the relevant learning themes, particularly advanced project management during substantive development implementation and industry standard technical solutions in software or cybersecurity practice. To strengthen the result, the student should provide clearer reasoning, improve technical precision and show more complete testing or reflection.</x:v>
      </x:c>
      <x:c r="E1354" s="36" t="str">
        <x:v>SILO1: advanced project management during substantive development implementation; SILO2: industry standard technical solutions in software or cybersecurity practice</x:v>
      </x:c>
      <x:c r="F1354" s="35" t="n">
        <x:v>0.35</x:v>
      </x:c>
      <x:c r="G1354" s="37" t="n">
        <x:f>C1354*F1354</x:f>
        <x:v>25.549999999999997</x:v>
      </x:c>
    </x:row>
    <x:row r="1355" ht="15" hidden="0" customHeight="1">
      <x:c r="A1355" s="34" t="str">
        <x:v>STU0124</x:v>
      </x:c>
      <x:c r="B1355" s="35" t="str">
        <x:v>CSE1OOF - Test</x:v>
      </x:c>
      <x:c r="C1355" s="35" t="n">
        <x:v>62</x:v>
      </x:c>
      <x:c r="D1355"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1355" s="36" t="str">
        <x:v>SILO1: analysis/design/implementation compared with object-oriented modelling using objects that combine data structure and behaviour; SILO2: abstract data types and encapsulation to localise and minimise change</x:v>
      </x:c>
      <x:c r="F1355" s="35" t="n">
        <x:v>0.15</x:v>
      </x:c>
      <x:c r="G1355" s="37" t="n">
        <x:f>C1355*F1355</x:f>
        <x:v>9.299999999999999</x:v>
      </x:c>
    </x:row>
    <x:row r="1356" ht="15" hidden="0" customHeight="1">
      <x:c r="A1356" s="34" t="str">
        <x:v>STU0124</x:v>
      </x:c>
      <x:c r="B1356" s="35" t="str">
        <x:v>CSE1OOF - Practical demonstration</x:v>
      </x:c>
      <x:c r="C1356" s="35" t="n">
        <x:v>66</x:v>
      </x:c>
      <x:c r="D1356"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356" s="36" t="str">
        <x:v>SILO2: abstract data types and encapsulation to localise and minimise change; SILO3: code sharing and reuse through object-oriented techniques to reduce development time; SILO4: object-oriented design and implementation of computer programs for real-life problems</x:v>
      </x:c>
      <x:c r="F1356" s="35" t="n">
        <x:v>0.2</x:v>
      </x:c>
      <x:c r="G1356" s="37" t="n">
        <x:f>C1356*F1356</x:f>
        <x:v>13.200000000000001</x:v>
      </x:c>
    </x:row>
    <x:row r="1357" ht="15" hidden="0" customHeight="1">
      <x:c r="A1357" s="34" t="str">
        <x:v>STU0124</x:v>
      </x:c>
      <x:c r="B1357" s="35" t="str">
        <x:v>CSE1OOF - Assignment</x:v>
      </x:c>
      <x:c r="C1357" s="35" t="n">
        <x:v>66</x:v>
      </x:c>
      <x:c r="D1357"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357" s="36" t="str">
        <x:v>SILO2: abstract data types and encapsulation to localise and minimise change; SILO3: code sharing and reuse through object-oriented techniques to reduce development time; SILO4: object-oriented design and implementation of computer programs for real-life problems</x:v>
      </x:c>
      <x:c r="F1357" s="35" t="n">
        <x:v>0.25</x:v>
      </x:c>
      <x:c r="G1357" s="37" t="n">
        <x:f>C1357*F1357</x:f>
        <x:v>16.5</x:v>
      </x:c>
    </x:row>
    <x:row r="1358" ht="15" hidden="0" customHeight="1">
      <x:c r="A1358" s="34" t="str">
        <x:v>STU0124</x:v>
      </x:c>
      <x:c r="B1358" s="35" t="str">
        <x:v>CSE1OOF - Central examination</x:v>
      </x:c>
      <x:c r="C1358" s="35" t="n">
        <x:v>61</x:v>
      </x:c>
      <x:c r="D1358" s="36" t="str">
        <x:v>This developing result meets the core requirements but needs greater consistency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Future work should focus on consolidating the underlying concepts, applying them more consistently and explaining design or implementation decisions with stronger evidence.</x:v>
      </x:c>
      <x:c r="E1358"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358" s="35" t="n">
        <x:v>0.4</x:v>
      </x:c>
      <x:c r="G1358" s="37" t="n">
        <x:f>C1358*F1358</x:f>
        <x:v>24.400000000000002</x:v>
      </x:c>
    </x:row>
    <x:row r="1359" ht="15" hidden="0" customHeight="1">
      <x:c r="A1359" s="34" t="str">
        <x:v>STU0124</x:v>
      </x:c>
      <x:c r="B1359" s="35" t="str">
        <x:v>CSE2ALG - Test</x:v>
      </x:c>
      <x:c r="C1359" s="35" t="n">
        <x:v>62</x:v>
      </x:c>
      <x:c r="D1359"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1359" s="36" t="str">
        <x:v>SILO1: overall objectives of Algorithms and Data Structures; SILO2: identifying data structures and searching and sorting algorithms in computing contexts; SILO3: implementing data structures and searching and sorting algorithms in Java</x:v>
      </x:c>
      <x:c r="F1359" s="35" t="n">
        <x:v>0.2</x:v>
      </x:c>
      <x:c r="G1359" s="37" t="n">
        <x:f>C1359*F1359</x:f>
        <x:v>12.4</x:v>
      </x:c>
    </x:row>
    <x:row r="1360" ht="15" hidden="0" customHeight="1">
      <x:c r="A1360" s="34" t="str">
        <x:v>STU0124</x:v>
      </x:c>
      <x:c r="B1360" s="35" t="str">
        <x:v>CSE2ALG - Assignment</x:v>
      </x:c>
      <x:c r="C1360" s="35" t="n">
        <x:v>62</x:v>
      </x:c>
      <x:c r="D1360"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1360"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360" s="35" t="n">
        <x:v>0.3</x:v>
      </x:c>
      <x:c r="G1360" s="37" t="n">
        <x:f>C1360*F1360</x:f>
        <x:v>18.599999999999998</x:v>
      </x:c>
    </x:row>
    <x:row r="1361" ht="15" hidden="0" customHeight="1">
      <x:c r="A1361" s="34" t="str">
        <x:v>STU0124</x:v>
      </x:c>
      <x:c r="B1361" s="35" t="str">
        <x:v>CSE2ALG - Central examination</x:v>
      </x:c>
      <x:c r="C1361" s="35" t="n">
        <x:v>61</x:v>
      </x:c>
      <x:c r="D1361" s="36" t="str">
        <x:v>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x:v>
      </x:c>
      <x:c r="E1361"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361" s="35" t="n">
        <x:v>0.5</x:v>
      </x:c>
      <x:c r="G1361" s="37" t="n">
        <x:f>C1361*F1361</x:f>
        <x:v>30.5</x:v>
      </x:c>
    </x:row>
    <x:row r="1362" ht="15" hidden="0" customHeight="1">
      <x:c r="A1362" s="34" t="str">
        <x:v>STU0124</x:v>
      </x:c>
      <x:c r="B1362" s="35" t="str">
        <x:v>CSE3CAP - Oral presentation: Project Milestone Presentation</x:v>
      </x:c>
      <x:c r="C1362" s="35" t="n">
        <x:v>64</x:v>
      </x:c>
      <x:c r="D1362"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362" s="36" t="str">
        <x:v>SILO3: reporting project outcomes to technical and non-technical audiences and reflecting on feedback</x:v>
      </x:c>
      <x:c r="F1362" s="35" t="n">
        <x:v>0.1</x:v>
      </x:c>
      <x:c r="G1362" s="37" t="n">
        <x:f>C1362*F1362</x:f>
        <x:v>6.4</x:v>
      </x:c>
    </x:row>
    <x:row r="1363" ht="15" hidden="0" customHeight="1">
      <x:c r="A1363" s="34" t="str">
        <x:v>STU0124</x:v>
      </x:c>
      <x:c r="B1363" s="35" t="str">
        <x:v>CSE3CAP - Oral presentation: Final Project Presentation</x:v>
      </x:c>
      <x:c r="C1363" s="35" t="n">
        <x:v>62</x:v>
      </x:c>
      <x:c r="D1363"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363" s="36" t="str">
        <x:v>SILO3: reporting project outcomes to technical and non-technical audiences and reflecting on feedback</x:v>
      </x:c>
      <x:c r="F1363" s="35" t="n">
        <x:v>0.2</x:v>
      </x:c>
      <x:c r="G1363" s="37" t="n">
        <x:f>C1363*F1363</x:f>
        <x:v>12.4</x:v>
      </x:c>
    </x:row>
    <x:row r="1364" ht="15" hidden="0" customHeight="1">
      <x:c r="A1364" s="34" t="str">
        <x:v>STU0124</x:v>
      </x:c>
      <x:c r="B1364" s="35" t="str">
        <x:v>CSE3CAP - Assignment: Final written Project Report</x:v>
      </x:c>
      <x:c r="C1364" s="35" t="n">
        <x:v>65</x:v>
      </x:c>
      <x:c r="D1364" s="36" t="str">
        <x:v>This sound result shows a competent and generally reliable grasp of the relevant learning themes, particularly industry standard technical solutions in software or cybersecurity practice and professional system documentation and advanced technical reporting to industry standards. To strengthen the result, the student should provide clearer reasoning, improve technical precision and show more complete testing or reflection.</x:v>
      </x:c>
      <x:c r="E1364" s="36" t="str">
        <x:v>SILO2: industry standard technical solutions in software or cybersecurity practice; SILO4: professional system documentation and advanced technical reporting to industry standards</x:v>
      </x:c>
      <x:c r="F1364" s="35" t="n">
        <x:v>0.35</x:v>
      </x:c>
      <x:c r="G1364" s="37" t="n">
        <x:f>C1364*F1364</x:f>
        <x:v>22.75</x:v>
      </x:c>
    </x:row>
    <x:row r="1365" ht="15" hidden="0" customHeight="1">
      <x:c r="A1365" s="34" t="str">
        <x:v>STU0124</x:v>
      </x:c>
      <x:c r="B1365" s="35" t="str">
        <x:v>CSE3CAP - Assignment: Sprint Project management reports</x:v>
      </x:c>
      <x:c r="C1365" s="35" t="n">
        <x:v>61</x:v>
      </x:c>
      <x:c r="D1365"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1365" s="36" t="str">
        <x:v>SILO1: advanced project management during substantive development implementation; SILO2: industry standard technical solutions in software or cybersecurity practice</x:v>
      </x:c>
      <x:c r="F1365" s="35" t="n">
        <x:v>0.35</x:v>
      </x:c>
      <x:c r="G1365" s="37" t="n">
        <x:f>C1365*F1365</x:f>
        <x:v>21.349999999999998</x:v>
      </x:c>
    </x:row>
    <x:row r="1366" ht="15" hidden="0" customHeight="1">
      <x:c r="A1366" s="34" t="str">
        <x:v>STU0125</x:v>
      </x:c>
      <x:c r="B1366" s="35" t="str">
        <x:v>CSE1OOF - Test</x:v>
      </x:c>
      <x:c r="C1366" s="35" t="n">
        <x:v>67</x:v>
      </x:c>
      <x:c r="D1366"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1366" s="36" t="str">
        <x:v>SILO1: analysis/design/implementation compared with object-oriented modelling using objects that combine data structure and behaviour; SILO2: abstract data types and encapsulation to localise and minimise change</x:v>
      </x:c>
      <x:c r="F1366" s="35" t="n">
        <x:v>0.15</x:v>
      </x:c>
      <x:c r="G1366" s="37" t="n">
        <x:f>C1366*F1366</x:f>
        <x:v>10.049999999999999</x:v>
      </x:c>
    </x:row>
    <x:row r="1367" ht="15" hidden="0" customHeight="1">
      <x:c r="A1367" s="34" t="str">
        <x:v>STU0125</x:v>
      </x:c>
      <x:c r="B1367" s="35" t="str">
        <x:v>CSE1OOF - Practical demonstration</x:v>
      </x:c>
      <x:c r="C1367" s="35" t="n">
        <x:v>69</x:v>
      </x:c>
      <x:c r="D1367"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367" s="36" t="str">
        <x:v>SILO2: abstract data types and encapsulation to localise and minimise change; SILO3: code sharing and reuse through object-oriented techniques to reduce development time; SILO4: object-oriented design and implementation of computer programs for real-life problems</x:v>
      </x:c>
      <x:c r="F1367" s="35" t="n">
        <x:v>0.2</x:v>
      </x:c>
      <x:c r="G1367" s="37" t="n">
        <x:f>C1367*F1367</x:f>
        <x:v>13.8</x:v>
      </x:c>
    </x:row>
    <x:row r="1368" ht="15" hidden="0" customHeight="1">
      <x:c r="A1368" s="34" t="str">
        <x:v>STU0125</x:v>
      </x:c>
      <x:c r="B1368" s="35" t="str">
        <x:v>CSE1OOF - Assignment</x:v>
      </x:c>
      <x:c r="C1368" s="35" t="n">
        <x:v>70</x:v>
      </x:c>
      <x:c r="D1368"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368" s="36" t="str">
        <x:v>SILO2: abstract data types and encapsulation to localise and minimise change; SILO3: code sharing and reuse through object-oriented techniques to reduce development time; SILO4: object-oriented design and implementation of computer programs for real-life problems</x:v>
      </x:c>
      <x:c r="F1368" s="35" t="n">
        <x:v>0.25</x:v>
      </x:c>
      <x:c r="G1368" s="37" t="n">
        <x:f>C1368*F1368</x:f>
        <x:v>17.5</x:v>
      </x:c>
    </x:row>
    <x:row r="1369" ht="15" hidden="0" customHeight="1">
      <x:c r="A1369" s="34" t="str">
        <x:v>STU0125</x:v>
      </x:c>
      <x:c r="B1369" s="35" t="str">
        <x:v>CSE1OOF - Central examination</x:v>
      </x:c>
      <x:c r="C1369" s="35" t="n">
        <x:v>70</x:v>
      </x:c>
      <x:c r="D1369"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1369"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369" s="35" t="n">
        <x:v>0.4</x:v>
      </x:c>
      <x:c r="G1369" s="37" t="n">
        <x:f>C1369*F1369</x:f>
        <x:v>28</x:v>
      </x:c>
    </x:row>
    <x:row r="1370" ht="15" hidden="0" customHeight="1">
      <x:c r="A1370" s="34" t="str">
        <x:v>STU0125</x:v>
      </x:c>
      <x:c r="B1370" s="35" t="str">
        <x:v>CSE2ALG - Test</x:v>
      </x:c>
      <x:c r="C1370" s="35" t="n">
        <x:v>69</x:v>
      </x:c>
      <x:c r="D1370"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1370" s="36" t="str">
        <x:v>SILO1: overall objectives of Algorithms and Data Structures; SILO2: identifying data structures and searching and sorting algorithms in computing contexts; SILO3: implementing data structures and searching and sorting algorithms in Java</x:v>
      </x:c>
      <x:c r="F1370" s="35" t="n">
        <x:v>0.2</x:v>
      </x:c>
      <x:c r="G1370" s="37" t="n">
        <x:f>C1370*F1370</x:f>
        <x:v>13.8</x:v>
      </x:c>
    </x:row>
    <x:row r="1371" ht="15" hidden="0" customHeight="1">
      <x:c r="A1371" s="34" t="str">
        <x:v>STU0125</x:v>
      </x:c>
      <x:c r="B1371" s="35" t="str">
        <x:v>CSE2ALG - Assignment</x:v>
      </x:c>
      <x:c r="C1371" s="35" t="n">
        <x:v>64</x:v>
      </x:c>
      <x:c r="D1371"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1371"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371" s="35" t="n">
        <x:v>0.3</x:v>
      </x:c>
      <x:c r="G1371" s="37" t="n">
        <x:f>C1371*F1371</x:f>
        <x:v>19.2</x:v>
      </x:c>
    </x:row>
    <x:row r="1372" ht="15" hidden="0" customHeight="1">
      <x:c r="A1372" s="34" t="str">
        <x:v>STU0125</x:v>
      </x:c>
      <x:c r="B1372" s="35" t="str">
        <x:v>CSE2ALG - Central examination</x:v>
      </x:c>
      <x:c r="C1372" s="35" t="n">
        <x:v>69</x:v>
      </x:c>
      <x:c r="D1372"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1372"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372" s="35" t="n">
        <x:v>0.5</x:v>
      </x:c>
      <x:c r="G1372" s="37" t="n">
        <x:f>C1372*F1372</x:f>
        <x:v>34.5</x:v>
      </x:c>
    </x:row>
    <x:row r="1373" ht="15" hidden="0" customHeight="1">
      <x:c r="A1373" s="34" t="str">
        <x:v>STU0125</x:v>
      </x:c>
      <x:c r="B1373" s="35" t="str">
        <x:v>CSE3CAP - Oral presentation: Project Milestone Presentation</x:v>
      </x:c>
      <x:c r="C1373" s="35" t="n">
        <x:v>71</x:v>
      </x:c>
      <x:c r="D1373"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1373" s="36" t="str">
        <x:v>SILO3: reporting project outcomes to technical and non-technical audiences and reflecting on feedback</x:v>
      </x:c>
      <x:c r="F1373" s="35" t="n">
        <x:v>0.1</x:v>
      </x:c>
      <x:c r="G1373" s="37" t="n">
        <x:f>C1373*F1373</x:f>
        <x:v>7.1000000000000005</x:v>
      </x:c>
    </x:row>
    <x:row r="1374" ht="15" hidden="0" customHeight="1">
      <x:c r="A1374" s="34" t="str">
        <x:v>STU0125</x:v>
      </x:c>
      <x:c r="B1374" s="35" t="str">
        <x:v>CSE3CAP - Oral presentation: Final Project Presentation</x:v>
      </x:c>
      <x:c r="C1374" s="35" t="n">
        <x:v>72</x:v>
      </x:c>
      <x:c r="D1374"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1374" s="36" t="str">
        <x:v>SILO3: reporting project outcomes to technical and non-technical audiences and reflecting on feedback</x:v>
      </x:c>
      <x:c r="F1374" s="35" t="n">
        <x:v>0.2</x:v>
      </x:c>
      <x:c r="G1374" s="37" t="n">
        <x:f>C1374*F1374</x:f>
        <x:v>14.4</x:v>
      </x:c>
    </x:row>
    <x:row r="1375" ht="15" hidden="0" customHeight="1">
      <x:c r="A1375" s="34" t="str">
        <x:v>STU0125</x:v>
      </x:c>
      <x:c r="B1375" s="35" t="str">
        <x:v>CSE3CAP - Assignment: Final written Project Report</x:v>
      </x:c>
      <x:c r="C1375" s="35" t="n">
        <x:v>67</x:v>
      </x:c>
      <x:c r="D1375" s="36" t="str">
        <x:v>This sound result shows a competent and generally reliable grasp of the relevant learning themes, particularly industry standard technical solutions in software or cybersecurity practice and professional system documentation and advanced technical reporting to industry standards. To strengthen the result, the student should provide clearer reasoning, improve technical precision and show more complete testing or reflection.</x:v>
      </x:c>
      <x:c r="E1375" s="36" t="str">
        <x:v>SILO2: industry standard technical solutions in software or cybersecurity practice; SILO4: professional system documentation and advanced technical reporting to industry standards</x:v>
      </x:c>
      <x:c r="F1375" s="35" t="n">
        <x:v>0.35</x:v>
      </x:c>
      <x:c r="G1375" s="37" t="n">
        <x:f>C1375*F1375</x:f>
        <x:v>23.45</x:v>
      </x:c>
    </x:row>
    <x:row r="1376" ht="15" hidden="0" customHeight="1">
      <x:c r="A1376" s="34" t="str">
        <x:v>STU0125</x:v>
      </x:c>
      <x:c r="B1376" s="35" t="str">
        <x:v>CSE3CAP - Assignment: Sprint Project management reports</x:v>
      </x:c>
      <x:c r="C1376" s="35" t="n">
        <x:v>66</x:v>
      </x:c>
      <x:c r="D1376" s="36" t="str">
        <x:v>This sound result shows a competent and generally reliable grasp of the relevant learning themes, particularly advanced project management during substantive development implementation and industry standard technical solutions in software or cybersecurity practice. To strengthen the result, the student should provide clearer reasoning, improve technical precision and show more complete testing or reflection.</x:v>
      </x:c>
      <x:c r="E1376" s="36" t="str">
        <x:v>SILO1: advanced project management during substantive development implementation; SILO2: industry standard technical solutions in software or cybersecurity practice</x:v>
      </x:c>
      <x:c r="F1376" s="35" t="n">
        <x:v>0.35</x:v>
      </x:c>
      <x:c r="G1376" s="37" t="n">
        <x:f>C1376*F1376</x:f>
        <x:v>23.099999999999998</x:v>
      </x:c>
    </x:row>
    <x:row r="1377" ht="15" hidden="0" customHeight="1">
      <x:c r="A1377" s="34" t="str">
        <x:v>STU0126</x:v>
      </x:c>
      <x:c r="B1377" s="35" t="str">
        <x:v>CSE1OOF - Test</x:v>
      </x:c>
      <x:c r="C1377" s="35" t="n">
        <x:v>49</x:v>
      </x:c>
      <x:c r="D1377" s="36" t="str">
        <x:v>This limited result shows gaps that require targeted revision of the relevant learning themes, particularly analysis/design/implementation compared with object-oriented modelling using objects that combine data structure and behaviour and abstract data types and encapsulation to localise and minimise change. The student should revisit the core concepts, seek feedback early and practise applying the techniques in smaller, well-tested examples before attempting the full assessment task.</x:v>
      </x:c>
      <x:c r="E1377" s="36" t="str">
        <x:v>SILO1: analysis/design/implementation compared with object-oriented modelling using objects that combine data structure and behaviour; SILO2: abstract data types and encapsulation to localise and minimise change</x:v>
      </x:c>
      <x:c r="F1377" s="35" t="n">
        <x:v>0.15</x:v>
      </x:c>
      <x:c r="G1377" s="37" t="n">
        <x:f>C1377*F1377</x:f>
        <x:v>7.35</x:v>
      </x:c>
    </x:row>
    <x:row r="1378" ht="15" hidden="0" customHeight="1">
      <x:c r="A1378" s="34" t="str">
        <x:v>STU0126</x:v>
      </x:c>
      <x:c r="B1378" s="35" t="str">
        <x:v>CSE1OOF - Practical demonstration</x:v>
      </x:c>
      <x:c r="C1378" s="35" t="n">
        <x:v>53</x:v>
      </x:c>
      <x:c r="D1378"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378" s="36" t="str">
        <x:v>SILO2: abstract data types and encapsulation to localise and minimise change; SILO3: code sharing and reuse through object-oriented techniques to reduce development time; SILO4: object-oriented design and implementation of computer programs for real-life problems</x:v>
      </x:c>
      <x:c r="F1378" s="35" t="n">
        <x:v>0.2</x:v>
      </x:c>
      <x:c r="G1378" s="37" t="n">
        <x:f>C1378*F1378</x:f>
        <x:v>10.600000000000001</x:v>
      </x:c>
    </x:row>
    <x:row r="1379" ht="15" hidden="0" customHeight="1">
      <x:c r="A1379" s="34" t="str">
        <x:v>STU0126</x:v>
      </x:c>
      <x:c r="B1379" s="35" t="str">
        <x:v>CSE1OOF - Assignment</x:v>
      </x:c>
      <x:c r="C1379" s="35" t="n">
        <x:v>52</x:v>
      </x:c>
      <x:c r="D1379"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379" s="36" t="str">
        <x:v>SILO2: abstract data types and encapsulation to localise and minimise change; SILO3: code sharing and reuse through object-oriented techniques to reduce development time; SILO4: object-oriented design and implementation of computer programs for real-life problems</x:v>
      </x:c>
      <x:c r="F1379" s="35" t="n">
        <x:v>0.25</x:v>
      </x:c>
      <x:c r="G1379" s="37" t="n">
        <x:f>C1379*F1379</x:f>
        <x:v>13</x:v>
      </x:c>
    </x:row>
    <x:row r="1380" ht="15" hidden="0" customHeight="1">
      <x:c r="A1380" s="34" t="str">
        <x:v>STU0126</x:v>
      </x:c>
      <x:c r="B1380" s="35" t="str">
        <x:v>CSE1OOF - Central examination</x:v>
      </x:c>
      <x:c r="C1380" s="35" t="n">
        <x:v>50</x:v>
      </x:c>
      <x:c r="D1380" s="36" t="str">
        <x:v>This developing result meets the core requirements but needs greater consistency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Future work should focus on consolidating the underlying concepts, applying them more consistently and explaining design or implementation decisions with stronger evidence.</x:v>
      </x:c>
      <x:c r="E1380"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380" s="35" t="n">
        <x:v>0.4</x:v>
      </x:c>
      <x:c r="G1380" s="37" t="n">
        <x:f>C1380*F1380</x:f>
        <x:v>20</x:v>
      </x:c>
    </x:row>
    <x:row r="1381" ht="15" hidden="0" customHeight="1">
      <x:c r="A1381" s="34" t="str">
        <x:v>STU0126</x:v>
      </x:c>
      <x:c r="B1381" s="35" t="str">
        <x:v>CSE2ALG - Test</x:v>
      </x:c>
      <x:c r="C1381" s="35" t="n">
        <x:v>56</x:v>
      </x:c>
      <x:c r="D1381"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1381" s="36" t="str">
        <x:v>SILO1: overall objectives of Algorithms and Data Structures; SILO2: identifying data structures and searching and sorting algorithms in computing contexts; SILO3: implementing data structures and searching and sorting algorithms in Java</x:v>
      </x:c>
      <x:c r="F1381" s="35" t="n">
        <x:v>0.2</x:v>
      </x:c>
      <x:c r="G1381" s="37" t="n">
        <x:f>C1381*F1381</x:f>
        <x:v>11.200000000000001</x:v>
      </x:c>
    </x:row>
    <x:row r="1382" ht="15" hidden="0" customHeight="1">
      <x:c r="A1382" s="34" t="str">
        <x:v>STU0126</x:v>
      </x:c>
      <x:c r="B1382" s="35" t="str">
        <x:v>CSE2ALG - Assignment</x:v>
      </x:c>
      <x:c r="C1382" s="35" t="n">
        <x:v>55</x:v>
      </x:c>
      <x:c r="D1382"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1382"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382" s="35" t="n">
        <x:v>0.3</x:v>
      </x:c>
      <x:c r="G1382" s="37" t="n">
        <x:f>C1382*F1382</x:f>
        <x:v>16.5</x:v>
      </x:c>
    </x:row>
    <x:row r="1383" ht="15" hidden="0" customHeight="1">
      <x:c r="A1383" s="34" t="str">
        <x:v>STU0126</x:v>
      </x:c>
      <x:c r="B1383" s="35" t="str">
        <x:v>CSE2ALG - Central examination</x:v>
      </x:c>
      <x:c r="C1383" s="35" t="n">
        <x:v>51</x:v>
      </x:c>
      <x:c r="D1383" s="36" t="str">
        <x:v>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x:v>
      </x:c>
      <x:c r="E1383"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383" s="35" t="n">
        <x:v>0.5</x:v>
      </x:c>
      <x:c r="G1383" s="37" t="n">
        <x:f>C1383*F1383</x:f>
        <x:v>25.5</x:v>
      </x:c>
    </x:row>
    <x:row r="1384" ht="15" hidden="0" customHeight="1">
      <x:c r="A1384" s="34" t="str">
        <x:v>STU0126</x:v>
      </x:c>
      <x:c r="B1384" s="35" t="str">
        <x:v>CSE3CAP - Oral presentation: Project Milestone Presentation</x:v>
      </x:c>
      <x:c r="C1384" s="35" t="n">
        <x:v>54</x:v>
      </x:c>
      <x:c r="D1384"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384" s="36" t="str">
        <x:v>SILO3: reporting project outcomes to technical and non-technical audiences and reflecting on feedback</x:v>
      </x:c>
      <x:c r="F1384" s="35" t="n">
        <x:v>0.1</x:v>
      </x:c>
      <x:c r="G1384" s="37" t="n">
        <x:f>C1384*F1384</x:f>
        <x:v>5.4</x:v>
      </x:c>
    </x:row>
    <x:row r="1385" ht="15" hidden="0" customHeight="1">
      <x:c r="A1385" s="34" t="str">
        <x:v>STU0126</x:v>
      </x:c>
      <x:c r="B1385" s="35" t="str">
        <x:v>CSE3CAP - Oral presentation: Final Project Presentation</x:v>
      </x:c>
      <x:c r="C1385" s="35" t="n">
        <x:v>55</x:v>
      </x:c>
      <x:c r="D1385"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385" s="36" t="str">
        <x:v>SILO3: reporting project outcomes to technical and non-technical audiences and reflecting on feedback</x:v>
      </x:c>
      <x:c r="F1385" s="35" t="n">
        <x:v>0.2</x:v>
      </x:c>
      <x:c r="G1385" s="37" t="n">
        <x:f>C1385*F1385</x:f>
        <x:v>11</x:v>
      </x:c>
    </x:row>
    <x:row r="1386" ht="15" hidden="0" customHeight="1">
      <x:c r="A1386" s="34" t="str">
        <x:v>STU0126</x:v>
      </x:c>
      <x:c r="B1386" s="35" t="str">
        <x:v>CSE3CAP - Assignment: Final written Project Report</x:v>
      </x:c>
      <x:c r="C1386" s="35" t="n">
        <x:v>58</x:v>
      </x:c>
      <x:c r="D1386"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1386" s="36" t="str">
        <x:v>SILO2: industry standard technical solutions in software or cybersecurity practice; SILO4: professional system documentation and advanced technical reporting to industry standards</x:v>
      </x:c>
      <x:c r="F1386" s="35" t="n">
        <x:v>0.35</x:v>
      </x:c>
      <x:c r="G1386" s="37" t="n">
        <x:f>C1386*F1386</x:f>
        <x:v>20.299999999999997</x:v>
      </x:c>
    </x:row>
    <x:row r="1387" ht="15" hidden="0" customHeight="1">
      <x:c r="A1387" s="34" t="str">
        <x:v>STU0126</x:v>
      </x:c>
      <x:c r="B1387" s="35" t="str">
        <x:v>CSE3CAP - Assignment: Sprint Project management reports</x:v>
      </x:c>
      <x:c r="C1387" s="35" t="n">
        <x:v>54</x:v>
      </x:c>
      <x:c r="D1387"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1387" s="36" t="str">
        <x:v>SILO1: advanced project management during substantive development implementation; SILO2: industry standard technical solutions in software or cybersecurity practice</x:v>
      </x:c>
      <x:c r="F1387" s="35" t="n">
        <x:v>0.35</x:v>
      </x:c>
      <x:c r="G1387" s="37" t="n">
        <x:f>C1387*F1387</x:f>
        <x:v>18.9</x:v>
      </x:c>
    </x:row>
    <x:row r="1388" ht="15" hidden="0" customHeight="1">
      <x:c r="A1388" s="34" t="str">
        <x:v>STU0127</x:v>
      </x:c>
      <x:c r="B1388" s="35" t="str">
        <x:v>CSE1OOF - Test</x:v>
      </x:c>
      <x:c r="C1388" s="35" t="n">
        <x:v>85</x:v>
      </x:c>
      <x:c r="D1388" s="36" t="str">
        <x:v>This excellent result demonstrates confident and independent command of the relevant learning themes, particularly analysis/design/implementation compared with object-oriented modelling using objects that combine data structure and behaviour and abstract data types and encapsulation to localise and minimise change. The work is clear, accurate and well justified, with only minor opportunities to further polish explanation or evaluation.</x:v>
      </x:c>
      <x:c r="E1388" s="36" t="str">
        <x:v>SILO1: analysis/design/implementation compared with object-oriented modelling using objects that combine data structure and behaviour; SILO2: abstract data types and encapsulation to localise and minimise change</x:v>
      </x:c>
      <x:c r="F1388" s="35" t="n">
        <x:v>0.15</x:v>
      </x:c>
      <x:c r="G1388" s="37" t="n">
        <x:f>C1388*F1388</x:f>
        <x:v>12.75</x:v>
      </x:c>
    </x:row>
    <x:row r="1389" ht="15" hidden="0" customHeight="1">
      <x:c r="A1389" s="34" t="str">
        <x:v>STU0127</x:v>
      </x:c>
      <x:c r="B1389" s="35" t="str">
        <x:v>CSE1OOF - Practical demonstration</x:v>
      </x:c>
      <x:c r="C1389" s="35" t="n">
        <x:v>80</x:v>
      </x:c>
      <x:c r="D1389"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1389" s="36" t="str">
        <x:v>SILO2: abstract data types and encapsulation to localise and minimise change; SILO3: code sharing and reuse through object-oriented techniques to reduce development time; SILO4: object-oriented design and implementation of computer programs for real-life problems</x:v>
      </x:c>
      <x:c r="F1389" s="35" t="n">
        <x:v>0.2</x:v>
      </x:c>
      <x:c r="G1389" s="37" t="n">
        <x:f>C1389*F1389</x:f>
        <x:v>16</x:v>
      </x:c>
    </x:row>
    <x:row r="1390" ht="15" hidden="0" customHeight="1">
      <x:c r="A1390" s="34" t="str">
        <x:v>STU0127</x:v>
      </x:c>
      <x:c r="B1390" s="35" t="str">
        <x:v>CSE1OOF - Assignment</x:v>
      </x:c>
      <x:c r="C1390" s="35" t="n">
        <x:v>80</x:v>
      </x:c>
      <x:c r="D1390"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1390" s="36" t="str">
        <x:v>SILO2: abstract data types and encapsulation to localise and minimise change; SILO3: code sharing and reuse through object-oriented techniques to reduce development time; SILO4: object-oriented design and implementation of computer programs for real-life problems</x:v>
      </x:c>
      <x:c r="F1390" s="35" t="n">
        <x:v>0.25</x:v>
      </x:c>
      <x:c r="G1390" s="37" t="n">
        <x:f>C1390*F1390</x:f>
        <x:v>20</x:v>
      </x:c>
    </x:row>
    <x:row r="1391" ht="15" hidden="0" customHeight="1">
      <x:c r="A1391" s="34" t="str">
        <x:v>STU0127</x:v>
      </x:c>
      <x:c r="B1391" s="35" t="str">
        <x:v>CSE1OOF - Central examination</x:v>
      </x:c>
      <x:c r="C1391" s="35" t="n">
        <x:v>79</x:v>
      </x:c>
      <x:c r="D1391" s="36" t="str">
        <x:v>This strong result shows well-developed understanding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Further improvement would come from deeper justification, more consistent evaluation evidence and tighter links between decisions and implementation details.</x:v>
      </x:c>
      <x:c r="E1391"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391" s="35" t="n">
        <x:v>0.4</x:v>
      </x:c>
      <x:c r="G1391" s="37" t="n">
        <x:f>C1391*F1391</x:f>
        <x:v>31.6</x:v>
      </x:c>
    </x:row>
    <x:row r="1392" ht="15" hidden="0" customHeight="1">
      <x:c r="A1392" s="34" t="str">
        <x:v>STU0127</x:v>
      </x:c>
      <x:c r="B1392" s="35" t="str">
        <x:v>CSE2ALG - Test</x:v>
      </x:c>
      <x:c r="C1392" s="35" t="n">
        <x:v>82</x:v>
      </x:c>
      <x:c r="D1392" s="36" t="str">
        <x:v>This strong result shows well-developed understanding of the relevant learning themes, particularly overall objectives of Algorithms and Data Structures, identifying data structures and searching and sorting algorithms in computing contexts, and implementing data structures and searching and sorting algorithms in Java. Further improvement would come from deeper justification, more consistent evaluation evidence and tighter links between decisions and implementation details.</x:v>
      </x:c>
      <x:c r="E1392" s="36" t="str">
        <x:v>SILO1: overall objectives of Algorithms and Data Structures; SILO2: identifying data structures and searching and sorting algorithms in computing contexts; SILO3: implementing data structures and searching and sorting algorithms in Java</x:v>
      </x:c>
      <x:c r="F1392" s="35" t="n">
        <x:v>0.2</x:v>
      </x:c>
      <x:c r="G1392" s="37" t="n">
        <x:f>C1392*F1392</x:f>
        <x:v>16.400000000000002</x:v>
      </x:c>
    </x:row>
    <x:row r="1393" ht="15" hidden="0" customHeight="1">
      <x:c r="A1393" s="34" t="str">
        <x:v>STU0127</x:v>
      </x:c>
      <x:c r="B1393" s="35" t="str">
        <x:v>CSE2ALG - Assignment</x:v>
      </x:c>
      <x:c r="C1393" s="35" t="n">
        <x:v>84</x:v>
      </x:c>
      <x:c r="D1393" s="36" t="str">
        <x:v>This strong result shows well-developed understanding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Further improvement would come from deeper justification, more consistent evaluation evidence and tighter links between decisions and implementation details.</x:v>
      </x:c>
      <x:c r="E1393"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393" s="35" t="n">
        <x:v>0.3</x:v>
      </x:c>
      <x:c r="G1393" s="37" t="n">
        <x:f>C1393*F1393</x:f>
        <x:v>25.2</x:v>
      </x:c>
    </x:row>
    <x:row r="1394" ht="15" hidden="0" customHeight="1">
      <x:c r="A1394" s="34" t="str">
        <x:v>STU0127</x:v>
      </x:c>
      <x:c r="B1394" s="35" t="str">
        <x:v>CSE2ALG - Central examination</x:v>
      </x:c>
      <x:c r="C1394" s="35" t="n">
        <x:v>82</x:v>
      </x:c>
      <x:c r="D1394" s="36" t="str">
        <x:v>This strong result shows well-developed understanding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Further improvement would come from deeper justification, more consistent evaluation evidence and tighter links between decisions and implementation details.</x:v>
      </x:c>
      <x:c r="E1394"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394" s="35" t="n">
        <x:v>0.5</x:v>
      </x:c>
      <x:c r="G1394" s="37" t="n">
        <x:f>C1394*F1394</x:f>
        <x:v>41</x:v>
      </x:c>
    </x:row>
    <x:row r="1395" ht="15" hidden="0" customHeight="1">
      <x:c r="A1395" s="34" t="str">
        <x:v>STU0127</x:v>
      </x:c>
      <x:c r="B1395" s="35" t="str">
        <x:v>CSE3CAP - Oral presentation: Project Milestone Presentation</x:v>
      </x:c>
      <x:c r="C1395" s="35" t="n">
        <x:v>83</x:v>
      </x:c>
      <x:c r="D1395"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1395" s="36" t="str">
        <x:v>SILO3: reporting project outcomes to technical and non-technical audiences and reflecting on feedback</x:v>
      </x:c>
      <x:c r="F1395" s="35" t="n">
        <x:v>0.1</x:v>
      </x:c>
      <x:c r="G1395" s="37" t="n">
        <x:f>C1395*F1395</x:f>
        <x:v>8.3</x:v>
      </x:c>
    </x:row>
    <x:row r="1396" ht="15" hidden="0" customHeight="1">
      <x:c r="A1396" s="34" t="str">
        <x:v>STU0127</x:v>
      </x:c>
      <x:c r="B1396" s="35" t="str">
        <x:v>CSE3CAP - Oral presentation: Final Project Presentation</x:v>
      </x:c>
      <x:c r="C1396" s="35" t="n">
        <x:v>84</x:v>
      </x:c>
      <x:c r="D1396"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1396" s="36" t="str">
        <x:v>SILO3: reporting project outcomes to technical and non-technical audiences and reflecting on feedback</x:v>
      </x:c>
      <x:c r="F1396" s="35" t="n">
        <x:v>0.2</x:v>
      </x:c>
      <x:c r="G1396" s="37" t="n">
        <x:f>C1396*F1396</x:f>
        <x:v>16.8</x:v>
      </x:c>
    </x:row>
    <x:row r="1397" ht="15" hidden="0" customHeight="1">
      <x:c r="A1397" s="34" t="str">
        <x:v>STU0127</x:v>
      </x:c>
      <x:c r="B1397" s="35" t="str">
        <x:v>CSE3CAP - Assignment: Final written Project Report</x:v>
      </x:c>
      <x:c r="C1397" s="35" t="n">
        <x:v>86</x:v>
      </x:c>
      <x:c r="D1397" s="36" t="str">
        <x:v>This excellent result demonstrates confident and independent command of the relevant learning themes, particularly industry standard technical solutions in software or cybersecurity practice and professional system documentation and advanced technical reporting to industry standards. The work is clear, accurate and well justified, with only minor opportunities to further polish explanation or evaluation.</x:v>
      </x:c>
      <x:c r="E1397" s="36" t="str">
        <x:v>SILO2: industry standard technical solutions in software or cybersecurity practice; SILO4: professional system documentation and advanced technical reporting to industry standards</x:v>
      </x:c>
      <x:c r="F1397" s="35" t="n">
        <x:v>0.35</x:v>
      </x:c>
      <x:c r="G1397" s="37" t="n">
        <x:f>C1397*F1397</x:f>
        <x:v>30.099999999999998</x:v>
      </x:c>
    </x:row>
    <x:row r="1398" ht="15" hidden="0" customHeight="1">
      <x:c r="A1398" s="34" t="str">
        <x:v>STU0127</x:v>
      </x:c>
      <x:c r="B1398" s="35" t="str">
        <x:v>CSE3CAP - Assignment: Sprint Project management reports</x:v>
      </x:c>
      <x:c r="C1398" s="35" t="n">
        <x:v>86</x:v>
      </x:c>
      <x:c r="D1398" s="36" t="str">
        <x:v>This excellent result demonstrates confident and independent command of the relevant learning themes, particularly advanced project management during substantive development implementation and industry standard technical solutions in software or cybersecurity practice. The work is clear, accurate and well justified, with only minor opportunities to further polish explanation or evaluation.</x:v>
      </x:c>
      <x:c r="E1398" s="36" t="str">
        <x:v>SILO1: advanced project management during substantive development implementation; SILO2: industry standard technical solutions in software or cybersecurity practice</x:v>
      </x:c>
      <x:c r="F1398" s="35" t="n">
        <x:v>0.35</x:v>
      </x:c>
      <x:c r="G1398" s="37" t="n">
        <x:f>C1398*F1398</x:f>
        <x:v>30.099999999999998</x:v>
      </x:c>
    </x:row>
    <x:row r="1399" ht="15" hidden="0" customHeight="1">
      <x:c r="A1399" s="34" t="str">
        <x:v>STU0128</x:v>
      </x:c>
      <x:c r="B1399" s="35" t="str">
        <x:v>CSE1OOF - Test</x:v>
      </x:c>
      <x:c r="C1399" s="35" t="n">
        <x:v>63</x:v>
      </x:c>
      <x:c r="D1399"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1399" s="36" t="str">
        <x:v>SILO1: analysis/design/implementation compared with object-oriented modelling using objects that combine data structure and behaviour; SILO2: abstract data types and encapsulation to localise and minimise change</x:v>
      </x:c>
      <x:c r="F1399" s="35" t="n">
        <x:v>0.15</x:v>
      </x:c>
      <x:c r="G1399" s="37" t="n">
        <x:f>C1399*F1399</x:f>
        <x:v>9.45</x:v>
      </x:c>
    </x:row>
    <x:row r="1400" ht="15" hidden="0" customHeight="1">
      <x:c r="A1400" s="34" t="str">
        <x:v>STU0128</x:v>
      </x:c>
      <x:c r="B1400" s="35" t="str">
        <x:v>CSE1OOF - Practical demonstration</x:v>
      </x:c>
      <x:c r="C1400" s="35" t="n">
        <x:v>63</x:v>
      </x:c>
      <x:c r="D1400"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400" s="36" t="str">
        <x:v>SILO2: abstract data types and encapsulation to localise and minimise change; SILO3: code sharing and reuse through object-oriented techniques to reduce development time; SILO4: object-oriented design and implementation of computer programs for real-life problems</x:v>
      </x:c>
      <x:c r="F1400" s="35" t="n">
        <x:v>0.2</x:v>
      </x:c>
      <x:c r="G1400" s="37" t="n">
        <x:f>C1400*F1400</x:f>
        <x:v>12.600000000000001</x:v>
      </x:c>
    </x:row>
    <x:row r="1401" ht="15" hidden="0" customHeight="1">
      <x:c r="A1401" s="34" t="str">
        <x:v>STU0128</x:v>
      </x:c>
      <x:c r="B1401" s="35" t="str">
        <x:v>CSE1OOF - Assignment</x:v>
      </x:c>
      <x:c r="C1401" s="35" t="n">
        <x:v>60</x:v>
      </x:c>
      <x:c r="D1401"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401" s="36" t="str">
        <x:v>SILO2: abstract data types and encapsulation to localise and minimise change; SILO3: code sharing and reuse through object-oriented techniques to reduce development time; SILO4: object-oriented design and implementation of computer programs for real-life problems</x:v>
      </x:c>
      <x:c r="F1401" s="35" t="n">
        <x:v>0.25</x:v>
      </x:c>
      <x:c r="G1401" s="37" t="n">
        <x:f>C1401*F1401</x:f>
        <x:v>15</x:v>
      </x:c>
    </x:row>
    <x:row r="1402" ht="15" hidden="0" customHeight="1">
      <x:c r="A1402" s="34" t="str">
        <x:v>STU0128</x:v>
      </x:c>
      <x:c r="B1402" s="35" t="str">
        <x:v>CSE1OOF - Central examination</x:v>
      </x:c>
      <x:c r="C1402" s="35" t="n">
        <x:v>62</x:v>
      </x:c>
      <x:c r="D1402" s="36" t="str">
        <x:v>This developing result meets the core requirements but needs greater consistency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Future work should focus on consolidating the underlying concepts, applying them more consistently and explaining design or implementation decisions with stronger evidence.</x:v>
      </x:c>
      <x:c r="E1402"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402" s="35" t="n">
        <x:v>0.4</x:v>
      </x:c>
      <x:c r="G1402" s="37" t="n">
        <x:f>C1402*F1402</x:f>
        <x:v>24.8</x:v>
      </x:c>
    </x:row>
    <x:row r="1403" ht="15" hidden="0" customHeight="1">
      <x:c r="A1403" s="34" t="str">
        <x:v>STU0128</x:v>
      </x:c>
      <x:c r="B1403" s="35" t="str">
        <x:v>CSE2ALG - Test</x:v>
      </x:c>
      <x:c r="C1403" s="35" t="n">
        <x:v>67</x:v>
      </x:c>
      <x:c r="D1403"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1403" s="36" t="str">
        <x:v>SILO1: overall objectives of Algorithms and Data Structures; SILO2: identifying data structures and searching and sorting algorithms in computing contexts; SILO3: implementing data structures and searching and sorting algorithms in Java</x:v>
      </x:c>
      <x:c r="F1403" s="35" t="n">
        <x:v>0.2</x:v>
      </x:c>
      <x:c r="G1403" s="37" t="n">
        <x:f>C1403*F1403</x:f>
        <x:v>13.4</x:v>
      </x:c>
    </x:row>
    <x:row r="1404" ht="15" hidden="0" customHeight="1">
      <x:c r="A1404" s="34" t="str">
        <x:v>STU0128</x:v>
      </x:c>
      <x:c r="B1404" s="35" t="str">
        <x:v>CSE2ALG - Assignment</x:v>
      </x:c>
      <x:c r="C1404" s="35" t="n">
        <x:v>66</x:v>
      </x:c>
      <x:c r="D1404" s="36" t="str">
        <x:v>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x:v>
      </x:c>
      <x:c r="E1404"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404" s="35" t="n">
        <x:v>0.3</x:v>
      </x:c>
      <x:c r="G1404" s="37" t="n">
        <x:f>C1404*F1404</x:f>
        <x:v>19.8</x:v>
      </x:c>
    </x:row>
    <x:row r="1405" ht="15" hidden="0" customHeight="1">
      <x:c r="A1405" s="34" t="str">
        <x:v>STU0128</x:v>
      </x:c>
      <x:c r="B1405" s="35" t="str">
        <x:v>CSE2ALG - Central examination</x:v>
      </x:c>
      <x:c r="C1405" s="35" t="n">
        <x:v>65</x:v>
      </x:c>
      <x:c r="D1405"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1405"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405" s="35" t="n">
        <x:v>0.5</x:v>
      </x:c>
      <x:c r="G1405" s="37" t="n">
        <x:f>C1405*F1405</x:f>
        <x:v>32.5</x:v>
      </x:c>
    </x:row>
    <x:row r="1406" ht="15" hidden="0" customHeight="1">
      <x:c r="A1406" s="34" t="str">
        <x:v>STU0128</x:v>
      </x:c>
      <x:c r="B1406" s="35" t="str">
        <x:v>CSE3CAP - Oral presentation: Project Milestone Presentation</x:v>
      </x:c>
      <x:c r="C1406" s="35" t="n">
        <x:v>64</x:v>
      </x:c>
      <x:c r="D1406"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406" s="36" t="str">
        <x:v>SILO3: reporting project outcomes to technical and non-technical audiences and reflecting on feedback</x:v>
      </x:c>
      <x:c r="F1406" s="35" t="n">
        <x:v>0.1</x:v>
      </x:c>
      <x:c r="G1406" s="37" t="n">
        <x:f>C1406*F1406</x:f>
        <x:v>6.4</x:v>
      </x:c>
    </x:row>
    <x:row r="1407" ht="15" hidden="0" customHeight="1">
      <x:c r="A1407" s="34" t="str">
        <x:v>STU0128</x:v>
      </x:c>
      <x:c r="B1407" s="35" t="str">
        <x:v>CSE3CAP - Oral presentation: Final Project Presentation</x:v>
      </x:c>
      <x:c r="C1407" s="35" t="n">
        <x:v>68</x:v>
      </x:c>
      <x:c r="D1407"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1407" s="36" t="str">
        <x:v>SILO3: reporting project outcomes to technical and non-technical audiences and reflecting on feedback</x:v>
      </x:c>
      <x:c r="F1407" s="35" t="n">
        <x:v>0.2</x:v>
      </x:c>
      <x:c r="G1407" s="37" t="n">
        <x:f>C1407*F1407</x:f>
        <x:v>13.600000000000001</x:v>
      </x:c>
    </x:row>
    <x:row r="1408" ht="15" hidden="0" customHeight="1">
      <x:c r="A1408" s="34" t="str">
        <x:v>STU0128</x:v>
      </x:c>
      <x:c r="B1408" s="35" t="str">
        <x:v>CSE3CAP - Assignment: Final written Project Report</x:v>
      </x:c>
      <x:c r="C1408" s="35" t="n">
        <x:v>66</x:v>
      </x:c>
      <x:c r="D1408" s="36" t="str">
        <x:v>This sound result shows a competent and generally reliable grasp of the relevant learning themes, particularly industry standard technical solutions in software or cybersecurity practice and professional system documentation and advanced technical reporting to industry standards. To strengthen the result, the student should provide clearer reasoning, improve technical precision and show more complete testing or reflection.</x:v>
      </x:c>
      <x:c r="E1408" s="36" t="str">
        <x:v>SILO2: industry standard technical solutions in software or cybersecurity practice; SILO4: professional system documentation and advanced technical reporting to industry standards</x:v>
      </x:c>
      <x:c r="F1408" s="35" t="n">
        <x:v>0.35</x:v>
      </x:c>
      <x:c r="G1408" s="37" t="n">
        <x:f>C1408*F1408</x:f>
        <x:v>23.099999999999998</x:v>
      </x:c>
    </x:row>
    <x:row r="1409" ht="15" hidden="0" customHeight="1">
      <x:c r="A1409" s="34" t="str">
        <x:v>STU0128</x:v>
      </x:c>
      <x:c r="B1409" s="35" t="str">
        <x:v>CSE3CAP - Assignment: Sprint Project management reports</x:v>
      </x:c>
      <x:c r="C1409" s="35" t="n">
        <x:v>67</x:v>
      </x:c>
      <x:c r="D1409" s="36" t="str">
        <x:v>This sound result shows a competent and generally reliable grasp of the relevant learning themes, particularly advanced project management during substantive development implementation and industry standard technical solutions in software or cybersecurity practice. To strengthen the result, the student should provide clearer reasoning, improve technical precision and show more complete testing or reflection.</x:v>
      </x:c>
      <x:c r="E1409" s="36" t="str">
        <x:v>SILO1: advanced project management during substantive development implementation; SILO2: industry standard technical solutions in software or cybersecurity practice</x:v>
      </x:c>
      <x:c r="F1409" s="35" t="n">
        <x:v>0.35</x:v>
      </x:c>
      <x:c r="G1409" s="37" t="n">
        <x:f>C1409*F1409</x:f>
        <x:v>23.45</x:v>
      </x:c>
    </x:row>
    <x:row r="1410" ht="15" hidden="0" customHeight="1">
      <x:c r="A1410" s="34" t="str">
        <x:v>STU0129</x:v>
      </x:c>
      <x:c r="B1410" s="35" t="str">
        <x:v>CSE1OOF - Test</x:v>
      </x:c>
      <x:c r="C1410" s="35" t="n">
        <x:v>75</x:v>
      </x:c>
      <x:c r="D1410" s="36" t="str">
        <x:v>This strong result shows well-developed understanding of the relevant learning themes, particularly analysis/design/implementation compared with object-oriented modelling using objects that combine data structure and behaviour and abstract data types and encapsulation to localise and minimise change. Further improvement would come from deeper justification, more consistent evaluation evidence and tighter links between decisions and implementation details.</x:v>
      </x:c>
      <x:c r="E1410" s="36" t="str">
        <x:v>SILO1: analysis/design/implementation compared with object-oriented modelling using objects that combine data structure and behaviour; SILO2: abstract data types and encapsulation to localise and minimise change</x:v>
      </x:c>
      <x:c r="F1410" s="35" t="n">
        <x:v>0.15</x:v>
      </x:c>
      <x:c r="G1410" s="37" t="n">
        <x:f>C1410*F1410</x:f>
        <x:v>11.25</x:v>
      </x:c>
    </x:row>
    <x:row r="1411" ht="15" hidden="0" customHeight="1">
      <x:c r="A1411" s="34" t="str">
        <x:v>STU0129</x:v>
      </x:c>
      <x:c r="B1411" s="35" t="str">
        <x:v>CSE1OOF - Practical demonstration</x:v>
      </x:c>
      <x:c r="C1411" s="35" t="n">
        <x:v>73</x:v>
      </x:c>
      <x:c r="D1411"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411" s="36" t="str">
        <x:v>SILO2: abstract data types and encapsulation to localise and minimise change; SILO3: code sharing and reuse through object-oriented techniques to reduce development time; SILO4: object-oriented design and implementation of computer programs for real-life problems</x:v>
      </x:c>
      <x:c r="F1411" s="35" t="n">
        <x:v>0.2</x:v>
      </x:c>
      <x:c r="G1411" s="37" t="n">
        <x:f>C1411*F1411</x:f>
        <x:v>14.600000000000001</x:v>
      </x:c>
    </x:row>
    <x:row r="1412" ht="15" hidden="0" customHeight="1">
      <x:c r="A1412" s="34" t="str">
        <x:v>STU0129</x:v>
      </x:c>
      <x:c r="B1412" s="35" t="str">
        <x:v>CSE1OOF - Assignment</x:v>
      </x:c>
      <x:c r="C1412" s="35" t="n">
        <x:v>74</x:v>
      </x:c>
      <x:c r="D1412"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412" s="36" t="str">
        <x:v>SILO2: abstract data types and encapsulation to localise and minimise change; SILO3: code sharing and reuse through object-oriented techniques to reduce development time; SILO4: object-oriented design and implementation of computer programs for real-life problems</x:v>
      </x:c>
      <x:c r="F1412" s="35" t="n">
        <x:v>0.25</x:v>
      </x:c>
      <x:c r="G1412" s="37" t="n">
        <x:f>C1412*F1412</x:f>
        <x:v>18.5</x:v>
      </x:c>
    </x:row>
    <x:row r="1413" ht="15" hidden="0" customHeight="1">
      <x:c r="A1413" s="34" t="str">
        <x:v>STU0129</x:v>
      </x:c>
      <x:c r="B1413" s="35" t="str">
        <x:v>CSE1OOF - Central examination</x:v>
      </x:c>
      <x:c r="C1413" s="35" t="n">
        <x:v>74</x:v>
      </x:c>
      <x:c r="D1413"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1413"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413" s="35" t="n">
        <x:v>0.4</x:v>
      </x:c>
      <x:c r="G1413" s="37" t="n">
        <x:f>C1413*F1413</x:f>
        <x:v>29.6</x:v>
      </x:c>
    </x:row>
    <x:row r="1414" ht="15" hidden="0" customHeight="1">
      <x:c r="A1414" s="34" t="str">
        <x:v>STU0129</x:v>
      </x:c>
      <x:c r="B1414" s="35" t="str">
        <x:v>CSE2ALG - Test</x:v>
      </x:c>
      <x:c r="C1414" s="35" t="n">
        <x:v>73</x:v>
      </x:c>
      <x:c r="D1414"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1414" s="36" t="str">
        <x:v>SILO1: overall objectives of Algorithms and Data Structures; SILO2: identifying data structures and searching and sorting algorithms in computing contexts; SILO3: implementing data structures and searching and sorting algorithms in Java</x:v>
      </x:c>
      <x:c r="F1414" s="35" t="n">
        <x:v>0.2</x:v>
      </x:c>
      <x:c r="G1414" s="37" t="n">
        <x:f>C1414*F1414</x:f>
        <x:v>14.600000000000001</x:v>
      </x:c>
    </x:row>
    <x:row r="1415" ht="15" hidden="0" customHeight="1">
      <x:c r="A1415" s="34" t="str">
        <x:v>STU0129</x:v>
      </x:c>
      <x:c r="B1415" s="35" t="str">
        <x:v>CSE2ALG - Assignment</x:v>
      </x:c>
      <x:c r="C1415" s="35" t="n">
        <x:v>72</x:v>
      </x:c>
      <x:c r="D1415" s="36" t="str">
        <x:v>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x:v>
      </x:c>
      <x:c r="E1415"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415" s="35" t="n">
        <x:v>0.3</x:v>
      </x:c>
      <x:c r="G1415" s="37" t="n">
        <x:f>C1415*F1415</x:f>
        <x:v>21.599999999999998</x:v>
      </x:c>
    </x:row>
    <x:row r="1416" ht="15" hidden="0" customHeight="1">
      <x:c r="A1416" s="34" t="str">
        <x:v>STU0129</x:v>
      </x:c>
      <x:c r="B1416" s="35" t="str">
        <x:v>CSE2ALG - Central examination</x:v>
      </x:c>
      <x:c r="C1416" s="35" t="n">
        <x:v>73</x:v>
      </x:c>
      <x:c r="D1416"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1416"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416" s="35" t="n">
        <x:v>0.5</x:v>
      </x:c>
      <x:c r="G1416" s="37" t="n">
        <x:f>C1416*F1416</x:f>
        <x:v>36.5</x:v>
      </x:c>
    </x:row>
    <x:row r="1417" ht="15" hidden="0" customHeight="1">
      <x:c r="A1417" s="34" t="str">
        <x:v>STU0129</x:v>
      </x:c>
      <x:c r="B1417" s="35" t="str">
        <x:v>CSE3CAP - Oral presentation: Project Milestone Presentation</x:v>
      </x:c>
      <x:c r="C1417" s="35" t="n">
        <x:v>77</x:v>
      </x:c>
      <x:c r="D1417"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1417" s="36" t="str">
        <x:v>SILO3: reporting project outcomes to technical and non-technical audiences and reflecting on feedback</x:v>
      </x:c>
      <x:c r="F1417" s="35" t="n">
        <x:v>0.1</x:v>
      </x:c>
      <x:c r="G1417" s="37" t="n">
        <x:f>C1417*F1417</x:f>
        <x:v>7.7</x:v>
      </x:c>
    </x:row>
    <x:row r="1418" ht="15" hidden="0" customHeight="1">
      <x:c r="A1418" s="34" t="str">
        <x:v>STU0129</x:v>
      </x:c>
      <x:c r="B1418" s="35" t="str">
        <x:v>CSE3CAP - Oral presentation: Final Project Presentation</x:v>
      </x:c>
      <x:c r="C1418" s="35" t="n">
        <x:v>77</x:v>
      </x:c>
      <x:c r="D1418"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1418" s="36" t="str">
        <x:v>SILO3: reporting project outcomes to technical and non-technical audiences and reflecting on feedback</x:v>
      </x:c>
      <x:c r="F1418" s="35" t="n">
        <x:v>0.2</x:v>
      </x:c>
      <x:c r="G1418" s="37" t="n">
        <x:f>C1418*F1418</x:f>
        <x:v>15.4</x:v>
      </x:c>
    </x:row>
    <x:row r="1419" ht="15" hidden="0" customHeight="1">
      <x:c r="A1419" s="34" t="str">
        <x:v>STU0129</x:v>
      </x:c>
      <x:c r="B1419" s="35" t="str">
        <x:v>CSE3CAP - Assignment: Final written Project Report</x:v>
      </x:c>
      <x:c r="C1419" s="35" t="n">
        <x:v>78</x:v>
      </x:c>
      <x:c r="D1419" s="36" t="str">
        <x:v>This strong result shows well-developed understanding of the relevant learning themes, particularly industry standard technical solutions in software or cybersecurity practice and professional system documentation and advanced technical reporting to industry standards. Further improvement would come from deeper justification, more consistent evaluation evidence and tighter links between decisions and implementation details.</x:v>
      </x:c>
      <x:c r="E1419" s="36" t="str">
        <x:v>SILO2: industry standard technical solutions in software or cybersecurity practice; SILO4: professional system documentation and advanced technical reporting to industry standards</x:v>
      </x:c>
      <x:c r="F1419" s="35" t="n">
        <x:v>0.35</x:v>
      </x:c>
      <x:c r="G1419" s="37" t="n">
        <x:f>C1419*F1419</x:f>
        <x:v>27.299999999999997</x:v>
      </x:c>
    </x:row>
    <x:row r="1420" ht="15" hidden="0" customHeight="1">
      <x:c r="A1420" s="34" t="str">
        <x:v>STU0129</x:v>
      </x:c>
      <x:c r="B1420" s="35" t="str">
        <x:v>CSE3CAP - Assignment: Sprint Project management reports</x:v>
      </x:c>
      <x:c r="C1420" s="35" t="n">
        <x:v>81</x:v>
      </x:c>
      <x:c r="D1420" s="36" t="str">
        <x:v>This strong result shows well-developed understanding of the relevant learning themes, particularly advanced project management during substantive development implementation and industry standard technical solutions in software or cybersecurity practice. Further improvement would come from deeper justification, more consistent evaluation evidence and tighter links between decisions and implementation details.</x:v>
      </x:c>
      <x:c r="E1420" s="36" t="str">
        <x:v>SILO1: advanced project management during substantive development implementation; SILO2: industry standard technical solutions in software or cybersecurity practice</x:v>
      </x:c>
      <x:c r="F1420" s="35" t="n">
        <x:v>0.35</x:v>
      </x:c>
      <x:c r="G1420" s="37" t="n">
        <x:f>C1420*F1420</x:f>
        <x:v>28.349999999999998</x:v>
      </x:c>
    </x:row>
    <x:row r="1421" ht="15" hidden="0" customHeight="1">
      <x:c r="A1421" s="34" t="str">
        <x:v>STU0130</x:v>
      </x:c>
      <x:c r="B1421" s="35" t="str">
        <x:v>CSE1OOF - Test</x:v>
      </x:c>
      <x:c r="C1421" s="35" t="n">
        <x:v>48</x:v>
      </x:c>
      <x:c r="D1421" s="36" t="str">
        <x:v>This limited result shows gaps that require targeted revision of the relevant learning themes, particularly analysis/design/implementation compared with object-oriented modelling using objects that combine data structure and behaviour and abstract data types and encapsulation to localise and minimise change. The student should revisit the core concepts, seek feedback early and practise applying the techniques in smaller, well-tested examples before attempting the full assessment task.</x:v>
      </x:c>
      <x:c r="E1421" s="36" t="str">
        <x:v>SILO1: analysis/design/implementation compared with object-oriented modelling using objects that combine data structure and behaviour; SILO2: abstract data types and encapsulation to localise and minimise change</x:v>
      </x:c>
      <x:c r="F1421" s="35" t="n">
        <x:v>0.15</x:v>
      </x:c>
      <x:c r="G1421" s="37" t="n">
        <x:f>C1421*F1421</x:f>
        <x:v>7.199999999999999</x:v>
      </x:c>
    </x:row>
    <x:row r="1422" ht="15" hidden="0" customHeight="1">
      <x:c r="A1422" s="34" t="str">
        <x:v>STU0130</x:v>
      </x:c>
      <x:c r="B1422" s="35" t="str">
        <x:v>CSE1OOF - Practical demonstration</x:v>
      </x:c>
      <x:c r="C1422" s="35" t="n">
        <x:v>48</x:v>
      </x:c>
      <x:c r="D1422" s="36" t="str">
        <x:v>This limited result shows gaps that require targeted revision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student should revisit the core concepts, seek feedback early and practise applying the techniques in smaller, well-tested examples before attempting the full assessment task.</x:v>
      </x:c>
      <x:c r="E1422" s="36" t="str">
        <x:v>SILO2: abstract data types and encapsulation to localise and minimise change; SILO3: code sharing and reuse through object-oriented techniques to reduce development time; SILO4: object-oriented design and implementation of computer programs for real-life problems</x:v>
      </x:c>
      <x:c r="F1422" s="35" t="n">
        <x:v>0.2</x:v>
      </x:c>
      <x:c r="G1422" s="37" t="n">
        <x:f>C1422*F1422</x:f>
        <x:v>9.600000000000001</x:v>
      </x:c>
    </x:row>
    <x:row r="1423" ht="15" hidden="0" customHeight="1">
      <x:c r="A1423" s="34" t="str">
        <x:v>STU0130</x:v>
      </x:c>
      <x:c r="B1423" s="35" t="str">
        <x:v>CSE1OOF - Assignment</x:v>
      </x:c>
      <x:c r="C1423" s="35" t="n">
        <x:v>49</x:v>
      </x:c>
      <x:c r="D1423" s="36" t="str">
        <x:v>This limited result shows gaps that require targeted revision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student should revisit the core concepts, seek feedback early and practise applying the techniques in smaller, well-tested examples before attempting the full assessment task.</x:v>
      </x:c>
      <x:c r="E1423" s="36" t="str">
        <x:v>SILO2: abstract data types and encapsulation to localise and minimise change; SILO3: code sharing and reuse through object-oriented techniques to reduce development time; SILO4: object-oriented design and implementation of computer programs for real-life problems</x:v>
      </x:c>
      <x:c r="F1423" s="35" t="n">
        <x:v>0.25</x:v>
      </x:c>
      <x:c r="G1423" s="37" t="n">
        <x:f>C1423*F1423</x:f>
        <x:v>12.25</x:v>
      </x:c>
    </x:row>
    <x:row r="1424" ht="15" hidden="0" customHeight="1">
      <x:c r="A1424" s="34" t="str">
        <x:v>STU0130</x:v>
      </x:c>
      <x:c r="B1424" s="35" t="str">
        <x:v>CSE1OOF - Central examination</x:v>
      </x:c>
      <x:c r="C1424" s="35" t="n">
        <x:v>48</x:v>
      </x:c>
      <x:c r="D1424" s="36" t="str">
        <x:v>This limited result shows gaps that require targeted revision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The student should revisit the core concepts, seek feedback early and practise applying the techniques in smaller, well-tested examples before attempting the full assessment task.</x:v>
      </x:c>
      <x:c r="E1424"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424" s="35" t="n">
        <x:v>0.4</x:v>
      </x:c>
      <x:c r="G1424" s="37" t="n">
        <x:f>C1424*F1424</x:f>
        <x:v>19.200000000000003</x:v>
      </x:c>
    </x:row>
    <x:row r="1425" ht="15" hidden="0" customHeight="1">
      <x:c r="A1425" s="34" t="str">
        <x:v>STU0130</x:v>
      </x:c>
      <x:c r="B1425" s="35" t="str">
        <x:v>CSE2ALG - Test</x:v>
      </x:c>
      <x:c r="C1425" s="35" t="n">
        <x:v>43</x:v>
      </x:c>
      <x:c r="D1425" s="36" t="str">
        <x:v>This limited result shows gaps that require targeted revision of the relevant learning themes, particularly overall objectives of Algorithms and Data Structures, identifying data structures and searching and sorting algorithms in computing contexts, and implementing data structures and searching and sorting algorithms in Java. The student should revisit the core concepts, seek feedback early and practise applying the techniques in smaller, well-tested examples before attempting the full assessment task.</x:v>
      </x:c>
      <x:c r="E1425" s="36" t="str">
        <x:v>SILO1: overall objectives of Algorithms and Data Structures; SILO2: identifying data structures and searching and sorting algorithms in computing contexts; SILO3: implementing data structures and searching and sorting algorithms in Java</x:v>
      </x:c>
      <x:c r="F1425" s="35" t="n">
        <x:v>0.2</x:v>
      </x:c>
      <x:c r="G1425" s="37" t="n">
        <x:f>C1425*F1425</x:f>
        <x:v>8.6</x:v>
      </x:c>
    </x:row>
    <x:row r="1426" ht="15" hidden="0" customHeight="1">
      <x:c r="A1426" s="34" t="str">
        <x:v>STU0130</x:v>
      </x:c>
      <x:c r="B1426" s="35" t="str">
        <x:v>CSE2ALG - Assignment</x:v>
      </x:c>
      <x:c r="C1426" s="35" t="n">
        <x:v>48</x:v>
      </x:c>
      <x:c r="D1426" s="36" t="str">
        <x:v>This limited result shows gaps that require targeted revision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The student should revisit the core concepts, seek feedback early and practise applying the techniques in smaller, well-tested examples before attempting the full assessment task.</x:v>
      </x:c>
      <x:c r="E1426"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426" s="35" t="n">
        <x:v>0.3</x:v>
      </x:c>
      <x:c r="G1426" s="37" t="n">
        <x:f>C1426*F1426</x:f>
        <x:v>14.399999999999999</x:v>
      </x:c>
    </x:row>
    <x:row r="1427" ht="15" hidden="0" customHeight="1">
      <x:c r="A1427" s="34" t="str">
        <x:v>STU0130</x:v>
      </x:c>
      <x:c r="B1427" s="35" t="str">
        <x:v>CSE2ALG - Central examination</x:v>
      </x:c>
      <x:c r="C1427" s="35" t="n">
        <x:v>44</x:v>
      </x:c>
      <x:c r="D1427" s="36" t="str">
        <x:v>This limited result shows gaps that require targeted revision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The student should revisit the core concepts, seek feedback early and practise applying the techniques in smaller, well-tested examples before attempting the full assessment task.</x:v>
      </x:c>
      <x:c r="E1427"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427" s="35" t="n">
        <x:v>0.5</x:v>
      </x:c>
      <x:c r="G1427" s="37" t="n">
        <x:f>C1427*F1427</x:f>
        <x:v>22</x:v>
      </x:c>
    </x:row>
    <x:row r="1428" ht="15" hidden="0" customHeight="1">
      <x:c r="A1428" s="34" t="str">
        <x:v>STU0130</x:v>
      </x:c>
      <x:c r="B1428" s="35" t="str">
        <x:v>CSE3CAP - Oral presentation: Project Milestone Presentation</x:v>
      </x:c>
      <x:c r="C1428" s="35" t="n">
        <x:v>49</x:v>
      </x:c>
      <x:c r="D1428" s="36" t="str">
        <x:v>This limited result shows gaps that require targeted revision of the relevant learning themes, particularly reporting project outcomes to technical and non-technical audiences and reflecting on feedback. The student should revisit the core concepts, seek feedback early and practise applying the techniques in smaller, well-tested examples before attempting the full assessment task.</x:v>
      </x:c>
      <x:c r="E1428" s="36" t="str">
        <x:v>SILO3: reporting project outcomes to technical and non-technical audiences and reflecting on feedback</x:v>
      </x:c>
      <x:c r="F1428" s="35" t="n">
        <x:v>0.1</x:v>
      </x:c>
      <x:c r="G1428" s="37" t="n">
        <x:f>C1428*F1428</x:f>
        <x:v>4.9</x:v>
      </x:c>
    </x:row>
    <x:row r="1429" ht="15" hidden="0" customHeight="1">
      <x:c r="A1429" s="34" t="str">
        <x:v>STU0130</x:v>
      </x:c>
      <x:c r="B1429" s="35" t="str">
        <x:v>CSE3CAP - Oral presentation: Final Project Presentation</x:v>
      </x:c>
      <x:c r="C1429" s="35" t="n">
        <x:v>47</x:v>
      </x:c>
      <x:c r="D1429" s="36" t="str">
        <x:v>This limited result shows gaps that require targeted revision of the relevant learning themes, particularly reporting project outcomes to technical and non-technical audiences and reflecting on feedback. The student should revisit the core concepts, seek feedback early and practise applying the techniques in smaller, well-tested examples before attempting the full assessment task.</x:v>
      </x:c>
      <x:c r="E1429" s="36" t="str">
        <x:v>SILO3: reporting project outcomes to technical and non-technical audiences and reflecting on feedback</x:v>
      </x:c>
      <x:c r="F1429" s="35" t="n">
        <x:v>0.2</x:v>
      </x:c>
      <x:c r="G1429" s="37" t="n">
        <x:f>C1429*F1429</x:f>
        <x:v>9.4</x:v>
      </x:c>
    </x:row>
    <x:row r="1430" ht="15" hidden="0" customHeight="1">
      <x:c r="A1430" s="34" t="str">
        <x:v>STU0130</x:v>
      </x:c>
      <x:c r="B1430" s="35" t="str">
        <x:v>CSE3CAP - Assignment: Final written Project Report</x:v>
      </x:c>
      <x:c r="C1430" s="35" t="n">
        <x:v>49</x:v>
      </x:c>
      <x:c r="D1430" s="36" t="str">
        <x:v>This limited result shows gaps that require targeted revision of the relevant learning themes, particularly industry standard technical solutions in software or cybersecurity practice and professional system documentation and advanced technical reporting to industry standards. The student should revisit the core concepts, seek feedback early and practise applying the techniques in smaller, well-tested examples before attempting the full assessment task.</x:v>
      </x:c>
      <x:c r="E1430" s="36" t="str">
        <x:v>SILO2: industry standard technical solutions in software or cybersecurity practice; SILO4: professional system documentation and advanced technical reporting to industry standards</x:v>
      </x:c>
      <x:c r="F1430" s="35" t="n">
        <x:v>0.35</x:v>
      </x:c>
      <x:c r="G1430" s="37" t="n">
        <x:f>C1430*F1430</x:f>
        <x:v>17.15</x:v>
      </x:c>
    </x:row>
    <x:row r="1431" ht="15" hidden="0" customHeight="1">
      <x:c r="A1431" s="34" t="str">
        <x:v>STU0130</x:v>
      </x:c>
      <x:c r="B1431" s="35" t="str">
        <x:v>CSE3CAP - Assignment: Sprint Project management reports</x:v>
      </x:c>
      <x:c r="C1431" s="35" t="n">
        <x:v>48</x:v>
      </x:c>
      <x:c r="D1431" s="36" t="str">
        <x:v>This limited result shows gaps that require targeted revision of the relevant learning themes, particularly advanced project management during substantive development implementation and industry standard technical solutions in software or cybersecurity practice. The student should revisit the core concepts, seek feedback early and practise applying the techniques in smaller, well-tested examples before attempting the full assessment task.</x:v>
      </x:c>
      <x:c r="E1431" s="36" t="str">
        <x:v>SILO1: advanced project management during substantive development implementation; SILO2: industry standard technical solutions in software or cybersecurity practice</x:v>
      </x:c>
      <x:c r="F1431" s="35" t="n">
        <x:v>0.35</x:v>
      </x:c>
      <x:c r="G1431" s="37" t="n">
        <x:f>C1431*F1431</x:f>
        <x:v>16.799999999999997</x:v>
      </x:c>
    </x:row>
    <x:row r="1432" ht="15" hidden="0" customHeight="1">
      <x:c r="A1432" s="34" t="str">
        <x:v>STU0131</x:v>
      </x:c>
      <x:c r="B1432" s="35" t="str">
        <x:v>CSE1OOF - Test</x:v>
      </x:c>
      <x:c r="C1432" s="35" t="n">
        <x:v>62</x:v>
      </x:c>
      <x:c r="D1432"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1432" s="36" t="str">
        <x:v>SILO1: analysis/design/implementation compared with object-oriented modelling using objects that combine data structure and behaviour; SILO2: abstract data types and encapsulation to localise and minimise change</x:v>
      </x:c>
      <x:c r="F1432" s="35" t="n">
        <x:v>0.15</x:v>
      </x:c>
      <x:c r="G1432" s="37" t="n">
        <x:f>C1432*F1432</x:f>
        <x:v>9.299999999999999</x:v>
      </x:c>
    </x:row>
    <x:row r="1433" ht="15" hidden="0" customHeight="1">
      <x:c r="A1433" s="34" t="str">
        <x:v>STU0131</x:v>
      </x:c>
      <x:c r="B1433" s="35" t="str">
        <x:v>CSE1OOF - Practical demonstration</x:v>
      </x:c>
      <x:c r="C1433" s="35" t="n">
        <x:v>64</x:v>
      </x:c>
      <x:c r="D1433"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433" s="36" t="str">
        <x:v>SILO2: abstract data types and encapsulation to localise and minimise change; SILO3: code sharing and reuse through object-oriented techniques to reduce development time; SILO4: object-oriented design and implementation of computer programs for real-life problems</x:v>
      </x:c>
      <x:c r="F1433" s="35" t="n">
        <x:v>0.2</x:v>
      </x:c>
      <x:c r="G1433" s="37" t="n">
        <x:f>C1433*F1433</x:f>
        <x:v>12.8</x:v>
      </x:c>
    </x:row>
    <x:row r="1434" ht="15" hidden="0" customHeight="1">
      <x:c r="A1434" s="34" t="str">
        <x:v>STU0131</x:v>
      </x:c>
      <x:c r="B1434" s="35" t="str">
        <x:v>CSE1OOF - Assignment</x:v>
      </x:c>
      <x:c r="C1434" s="35" t="n">
        <x:v>63</x:v>
      </x:c>
      <x:c r="D1434"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434" s="36" t="str">
        <x:v>SILO2: abstract data types and encapsulation to localise and minimise change; SILO3: code sharing and reuse through object-oriented techniques to reduce development time; SILO4: object-oriented design and implementation of computer programs for real-life problems</x:v>
      </x:c>
      <x:c r="F1434" s="35" t="n">
        <x:v>0.25</x:v>
      </x:c>
      <x:c r="G1434" s="37" t="n">
        <x:f>C1434*F1434</x:f>
        <x:v>15.75</x:v>
      </x:c>
    </x:row>
    <x:row r="1435" ht="15" hidden="0" customHeight="1">
      <x:c r="A1435" s="34" t="str">
        <x:v>STU0131</x:v>
      </x:c>
      <x:c r="B1435" s="35" t="str">
        <x:v>CSE1OOF - Central examination</x:v>
      </x:c>
      <x:c r="C1435" s="35" t="n">
        <x:v>62</x:v>
      </x:c>
      <x:c r="D1435" s="36" t="str">
        <x:v>This developing result meets the core requirements but needs greater consistency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Future work should focus on consolidating the underlying concepts, applying them more consistently and explaining design or implementation decisions with stronger evidence.</x:v>
      </x:c>
      <x:c r="E1435"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435" s="35" t="n">
        <x:v>0.4</x:v>
      </x:c>
      <x:c r="G1435" s="37" t="n">
        <x:f>C1435*F1435</x:f>
        <x:v>24.8</x:v>
      </x:c>
    </x:row>
    <x:row r="1436" ht="15" hidden="0" customHeight="1">
      <x:c r="A1436" s="34" t="str">
        <x:v>STU0131</x:v>
      </x:c>
      <x:c r="B1436" s="35" t="str">
        <x:v>CSE2ALG - Test</x:v>
      </x:c>
      <x:c r="C1436" s="35" t="n">
        <x:v>62</x:v>
      </x:c>
      <x:c r="D1436"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1436" s="36" t="str">
        <x:v>SILO1: overall objectives of Algorithms and Data Structures; SILO2: identifying data structures and searching and sorting algorithms in computing contexts; SILO3: implementing data structures and searching and sorting algorithms in Java</x:v>
      </x:c>
      <x:c r="F1436" s="35" t="n">
        <x:v>0.2</x:v>
      </x:c>
      <x:c r="G1436" s="37" t="n">
        <x:f>C1436*F1436</x:f>
        <x:v>12.4</x:v>
      </x:c>
    </x:row>
    <x:row r="1437" ht="15" hidden="0" customHeight="1">
      <x:c r="A1437" s="34" t="str">
        <x:v>STU0131</x:v>
      </x:c>
      <x:c r="B1437" s="35" t="str">
        <x:v>CSE2ALG - Assignment</x:v>
      </x:c>
      <x:c r="C1437" s="35" t="n">
        <x:v>57</x:v>
      </x:c>
      <x:c r="D1437"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1437"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437" s="35" t="n">
        <x:v>0.3</x:v>
      </x:c>
      <x:c r="G1437" s="37" t="n">
        <x:f>C1437*F1437</x:f>
        <x:v>17.099999999999998</x:v>
      </x:c>
    </x:row>
    <x:row r="1438" ht="15" hidden="0" customHeight="1">
      <x:c r="A1438" s="34" t="str">
        <x:v>STU0131</x:v>
      </x:c>
      <x:c r="B1438" s="35" t="str">
        <x:v>CSE2ALG - Central examination</x:v>
      </x:c>
      <x:c r="C1438" s="35" t="n">
        <x:v>61</x:v>
      </x:c>
      <x:c r="D1438" s="36" t="str">
        <x:v>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x:v>
      </x:c>
      <x:c r="E1438"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438" s="35" t="n">
        <x:v>0.5</x:v>
      </x:c>
      <x:c r="G1438" s="37" t="n">
        <x:f>C1438*F1438</x:f>
        <x:v>30.5</x:v>
      </x:c>
    </x:row>
    <x:row r="1439" ht="15" hidden="0" customHeight="1">
      <x:c r="A1439" s="34" t="str">
        <x:v>STU0131</x:v>
      </x:c>
      <x:c r="B1439" s="35" t="str">
        <x:v>CSE3CAP - Oral presentation: Project Milestone Presentation</x:v>
      </x:c>
      <x:c r="C1439" s="35" t="n">
        <x:v>65</x:v>
      </x:c>
      <x:c r="D1439"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1439" s="36" t="str">
        <x:v>SILO3: reporting project outcomes to technical and non-technical audiences and reflecting on feedback</x:v>
      </x:c>
      <x:c r="F1439" s="35" t="n">
        <x:v>0.1</x:v>
      </x:c>
      <x:c r="G1439" s="37" t="n">
        <x:f>C1439*F1439</x:f>
        <x:v>6.5</x:v>
      </x:c>
    </x:row>
    <x:row r="1440" ht="15" hidden="0" customHeight="1">
      <x:c r="A1440" s="34" t="str">
        <x:v>STU0131</x:v>
      </x:c>
      <x:c r="B1440" s="35" t="str">
        <x:v>CSE3CAP - Oral presentation: Final Project Presentation</x:v>
      </x:c>
      <x:c r="C1440" s="35" t="n">
        <x:v>63</x:v>
      </x:c>
      <x:c r="D1440"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440" s="36" t="str">
        <x:v>SILO3: reporting project outcomes to technical and non-technical audiences and reflecting on feedback</x:v>
      </x:c>
      <x:c r="F1440" s="35" t="n">
        <x:v>0.2</x:v>
      </x:c>
      <x:c r="G1440" s="37" t="n">
        <x:f>C1440*F1440</x:f>
        <x:v>12.600000000000001</x:v>
      </x:c>
    </x:row>
    <x:row r="1441" ht="15" hidden="0" customHeight="1">
      <x:c r="A1441" s="34" t="str">
        <x:v>STU0131</x:v>
      </x:c>
      <x:c r="B1441" s="35" t="str">
        <x:v>CSE3CAP - Assignment: Final written Project Report</x:v>
      </x:c>
      <x:c r="C1441" s="35" t="n">
        <x:v>64</x:v>
      </x:c>
      <x:c r="D1441"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1441" s="36" t="str">
        <x:v>SILO2: industry standard technical solutions in software or cybersecurity practice; SILO4: professional system documentation and advanced technical reporting to industry standards</x:v>
      </x:c>
      <x:c r="F1441" s="35" t="n">
        <x:v>0.35</x:v>
      </x:c>
      <x:c r="G1441" s="37" t="n">
        <x:f>C1441*F1441</x:f>
        <x:v>22.4</x:v>
      </x:c>
    </x:row>
    <x:row r="1442" ht="15" hidden="0" customHeight="1">
      <x:c r="A1442" s="34" t="str">
        <x:v>STU0131</x:v>
      </x:c>
      <x:c r="B1442" s="35" t="str">
        <x:v>CSE3CAP - Assignment: Sprint Project management reports</x:v>
      </x:c>
      <x:c r="C1442" s="35" t="n">
        <x:v>62</x:v>
      </x:c>
      <x:c r="D1442"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1442" s="36" t="str">
        <x:v>SILO1: advanced project management during substantive development implementation; SILO2: industry standard technical solutions in software or cybersecurity practice</x:v>
      </x:c>
      <x:c r="F1442" s="35" t="n">
        <x:v>0.35</x:v>
      </x:c>
      <x:c r="G1442" s="37" t="n">
        <x:f>C1442*F1442</x:f>
        <x:v>21.7</x:v>
      </x:c>
    </x:row>
    <x:row r="1443" ht="15" hidden="0" customHeight="1">
      <x:c r="A1443" s="34" t="str">
        <x:v>STU0132</x:v>
      </x:c>
      <x:c r="B1443" s="35" t="str">
        <x:v>CSE1OOF - Test</x:v>
      </x:c>
      <x:c r="C1443" s="35" t="n">
        <x:v>63</x:v>
      </x:c>
      <x:c r="D1443"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1443" s="36" t="str">
        <x:v>SILO1: analysis/design/implementation compared with object-oriented modelling using objects that combine data structure and behaviour; SILO2: abstract data types and encapsulation to localise and minimise change</x:v>
      </x:c>
      <x:c r="F1443" s="35" t="n">
        <x:v>0.15</x:v>
      </x:c>
      <x:c r="G1443" s="37" t="n">
        <x:f>C1443*F1443</x:f>
        <x:v>9.45</x:v>
      </x:c>
    </x:row>
    <x:row r="1444" ht="15" hidden="0" customHeight="1">
      <x:c r="A1444" s="34" t="str">
        <x:v>STU0132</x:v>
      </x:c>
      <x:c r="B1444" s="35" t="str">
        <x:v>CSE1OOF - Practical demonstration</x:v>
      </x:c>
      <x:c r="C1444" s="35" t="n">
        <x:v>64</x:v>
      </x:c>
      <x:c r="D1444"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444" s="36" t="str">
        <x:v>SILO2: abstract data types and encapsulation to localise and minimise change; SILO3: code sharing and reuse through object-oriented techniques to reduce development time; SILO4: object-oriented design and implementation of computer programs for real-life problems</x:v>
      </x:c>
      <x:c r="F1444" s="35" t="n">
        <x:v>0.2</x:v>
      </x:c>
      <x:c r="G1444" s="37" t="n">
        <x:f>C1444*F1444</x:f>
        <x:v>12.8</x:v>
      </x:c>
    </x:row>
    <x:row r="1445" ht="15" hidden="0" customHeight="1">
      <x:c r="A1445" s="34" t="str">
        <x:v>STU0132</x:v>
      </x:c>
      <x:c r="B1445" s="35" t="str">
        <x:v>CSE1OOF - Assignment</x:v>
      </x:c>
      <x:c r="C1445" s="35" t="n">
        <x:v>66</x:v>
      </x:c>
      <x:c r="D1445"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445" s="36" t="str">
        <x:v>SILO2: abstract data types and encapsulation to localise and minimise change; SILO3: code sharing and reuse through object-oriented techniques to reduce development time; SILO4: object-oriented design and implementation of computer programs for real-life problems</x:v>
      </x:c>
      <x:c r="F1445" s="35" t="n">
        <x:v>0.25</x:v>
      </x:c>
      <x:c r="G1445" s="37" t="n">
        <x:f>C1445*F1445</x:f>
        <x:v>16.5</x:v>
      </x:c>
    </x:row>
    <x:row r="1446" ht="15" hidden="0" customHeight="1">
      <x:c r="A1446" s="34" t="str">
        <x:v>STU0132</x:v>
      </x:c>
      <x:c r="B1446" s="35" t="str">
        <x:v>CSE1OOF - Central examination</x:v>
      </x:c>
      <x:c r="C1446" s="35" t="n">
        <x:v>65</x:v>
      </x:c>
      <x:c r="D1446"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1446"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446" s="35" t="n">
        <x:v>0.4</x:v>
      </x:c>
      <x:c r="G1446" s="37" t="n">
        <x:f>C1446*F1446</x:f>
        <x:v>26</x:v>
      </x:c>
    </x:row>
    <x:row r="1447" ht="15" hidden="0" customHeight="1">
      <x:c r="A1447" s="34" t="str">
        <x:v>STU0132</x:v>
      </x:c>
      <x:c r="B1447" s="35" t="str">
        <x:v>CSE2ALG - Test</x:v>
      </x:c>
      <x:c r="C1447" s="35" t="n">
        <x:v>63</x:v>
      </x:c>
      <x:c r="D1447"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1447" s="36" t="str">
        <x:v>SILO1: overall objectives of Algorithms and Data Structures; SILO2: identifying data structures and searching and sorting algorithms in computing contexts; SILO3: implementing data structures and searching and sorting algorithms in Java</x:v>
      </x:c>
      <x:c r="F1447" s="35" t="n">
        <x:v>0.2</x:v>
      </x:c>
      <x:c r="G1447" s="37" t="n">
        <x:f>C1447*F1447</x:f>
        <x:v>12.600000000000001</x:v>
      </x:c>
    </x:row>
    <x:row r="1448" ht="15" hidden="0" customHeight="1">
      <x:c r="A1448" s="34" t="str">
        <x:v>STU0132</x:v>
      </x:c>
      <x:c r="B1448" s="35" t="str">
        <x:v>CSE2ALG - Assignment</x:v>
      </x:c>
      <x:c r="C1448" s="35" t="n">
        <x:v>59</x:v>
      </x:c>
      <x:c r="D1448"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1448"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448" s="35" t="n">
        <x:v>0.3</x:v>
      </x:c>
      <x:c r="G1448" s="37" t="n">
        <x:f>C1448*F1448</x:f>
        <x:v>17.7</x:v>
      </x:c>
    </x:row>
    <x:row r="1449" ht="15" hidden="0" customHeight="1">
      <x:c r="A1449" s="34" t="str">
        <x:v>STU0132</x:v>
      </x:c>
      <x:c r="B1449" s="35" t="str">
        <x:v>CSE2ALG - Central examination</x:v>
      </x:c>
      <x:c r="C1449" s="35" t="n">
        <x:v>63</x:v>
      </x:c>
      <x:c r="D1449" s="36" t="str">
        <x:v>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x:v>
      </x:c>
      <x:c r="E1449"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449" s="35" t="n">
        <x:v>0.5</x:v>
      </x:c>
      <x:c r="G1449" s="37" t="n">
        <x:f>C1449*F1449</x:f>
        <x:v>31.5</x:v>
      </x:c>
    </x:row>
    <x:row r="1450" ht="15" hidden="0" customHeight="1">
      <x:c r="A1450" s="34" t="str">
        <x:v>STU0132</x:v>
      </x:c>
      <x:c r="B1450" s="35" t="str">
        <x:v>CSE3CAP - Oral presentation: Project Milestone Presentation</x:v>
      </x:c>
      <x:c r="C1450" s="35" t="n">
        <x:v>65</x:v>
      </x:c>
      <x:c r="D1450"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1450" s="36" t="str">
        <x:v>SILO3: reporting project outcomes to technical and non-technical audiences and reflecting on feedback</x:v>
      </x:c>
      <x:c r="F1450" s="35" t="n">
        <x:v>0.1</x:v>
      </x:c>
      <x:c r="G1450" s="37" t="n">
        <x:f>C1450*F1450</x:f>
        <x:v>6.5</x:v>
      </x:c>
    </x:row>
    <x:row r="1451" ht="15" hidden="0" customHeight="1">
      <x:c r="A1451" s="34" t="str">
        <x:v>STU0132</x:v>
      </x:c>
      <x:c r="B1451" s="35" t="str">
        <x:v>CSE3CAP - Oral presentation: Final Project Presentation</x:v>
      </x:c>
      <x:c r="C1451" s="35" t="n">
        <x:v>64</x:v>
      </x:c>
      <x:c r="D1451"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451" s="36" t="str">
        <x:v>SILO3: reporting project outcomes to technical and non-technical audiences and reflecting on feedback</x:v>
      </x:c>
      <x:c r="F1451" s="35" t="n">
        <x:v>0.2</x:v>
      </x:c>
      <x:c r="G1451" s="37" t="n">
        <x:f>C1451*F1451</x:f>
        <x:v>12.8</x:v>
      </x:c>
    </x:row>
    <x:row r="1452" ht="15" hidden="0" customHeight="1">
      <x:c r="A1452" s="34" t="str">
        <x:v>STU0132</x:v>
      </x:c>
      <x:c r="B1452" s="35" t="str">
        <x:v>CSE3CAP - Assignment: Final written Project Report</x:v>
      </x:c>
      <x:c r="C1452" s="35" t="n">
        <x:v>65</x:v>
      </x:c>
      <x:c r="D1452" s="36" t="str">
        <x:v>This sound result shows a competent and generally reliable grasp of the relevant learning themes, particularly industry standard technical solutions in software or cybersecurity practice and professional system documentation and advanced technical reporting to industry standards. To strengthen the result, the student should provide clearer reasoning, improve technical precision and show more complete testing or reflection.</x:v>
      </x:c>
      <x:c r="E1452" s="36" t="str">
        <x:v>SILO2: industry standard technical solutions in software or cybersecurity practice; SILO4: professional system documentation and advanced technical reporting to industry standards</x:v>
      </x:c>
      <x:c r="F1452" s="35" t="n">
        <x:v>0.35</x:v>
      </x:c>
      <x:c r="G1452" s="37" t="n">
        <x:f>C1452*F1452</x:f>
        <x:v>22.75</x:v>
      </x:c>
    </x:row>
    <x:row r="1453" ht="15" hidden="0" customHeight="1">
      <x:c r="A1453" s="34" t="str">
        <x:v>STU0132</x:v>
      </x:c>
      <x:c r="B1453" s="35" t="str">
        <x:v>CSE3CAP - Assignment: Sprint Project management reports</x:v>
      </x:c>
      <x:c r="C1453" s="35" t="n">
        <x:v>65</x:v>
      </x:c>
      <x:c r="D1453" s="36" t="str">
        <x:v>This sound result shows a competent and generally reliable grasp of the relevant learning themes, particularly advanced project management during substantive development implementation and industry standard technical solutions in software or cybersecurity practice. To strengthen the result, the student should provide clearer reasoning, improve technical precision and show more complete testing or reflection.</x:v>
      </x:c>
      <x:c r="E1453" s="36" t="str">
        <x:v>SILO1: advanced project management during substantive development implementation; SILO2: industry standard technical solutions in software or cybersecurity practice</x:v>
      </x:c>
      <x:c r="F1453" s="35" t="n">
        <x:v>0.35</x:v>
      </x:c>
      <x:c r="G1453" s="37" t="n">
        <x:f>C1453*F1453</x:f>
        <x:v>22.75</x:v>
      </x:c>
    </x:row>
    <x:row r="1454" ht="15" hidden="0" customHeight="1">
      <x:c r="A1454" s="34" t="str">
        <x:v>STU0133</x:v>
      </x:c>
      <x:c r="B1454" s="35" t="str">
        <x:v>CSE1OOF - Test</x:v>
      </x:c>
      <x:c r="C1454" s="35" t="n">
        <x:v>84</x:v>
      </x:c>
      <x:c r="D1454" s="36" t="str">
        <x:v>This strong result shows well-developed understanding of the relevant learning themes, particularly analysis/design/implementation compared with object-oriented modelling using objects that combine data structure and behaviour and abstract data types and encapsulation to localise and minimise change. Further improvement would come from deeper justification, more consistent evaluation evidence and tighter links between decisions and implementation details.</x:v>
      </x:c>
      <x:c r="E1454" s="36" t="str">
        <x:v>SILO1: analysis/design/implementation compared with object-oriented modelling using objects that combine data structure and behaviour; SILO2: abstract data types and encapsulation to localise and minimise change</x:v>
      </x:c>
      <x:c r="F1454" s="35" t="n">
        <x:v>0.15</x:v>
      </x:c>
      <x:c r="G1454" s="37" t="n">
        <x:f>C1454*F1454</x:f>
        <x:v>12.6</x:v>
      </x:c>
    </x:row>
    <x:row r="1455" ht="15" hidden="0" customHeight="1">
      <x:c r="A1455" s="34" t="str">
        <x:v>STU0133</x:v>
      </x:c>
      <x:c r="B1455" s="35" t="str">
        <x:v>CSE1OOF - Practical demonstration</x:v>
      </x:c>
      <x:c r="C1455" s="35" t="n">
        <x:v>88</x:v>
      </x:c>
      <x:c r="D1455" s="36" t="str">
        <x:v>This excellent result demonstrates confident and independent command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work is clear, accurate and well justified, with only minor opportunities to further polish explanation or evaluation.</x:v>
      </x:c>
      <x:c r="E1455" s="36" t="str">
        <x:v>SILO2: abstract data types and encapsulation to localise and minimise change; SILO3: code sharing and reuse through object-oriented techniques to reduce development time; SILO4: object-oriented design and implementation of computer programs for real-life problems</x:v>
      </x:c>
      <x:c r="F1455" s="35" t="n">
        <x:v>0.2</x:v>
      </x:c>
      <x:c r="G1455" s="37" t="n">
        <x:f>C1455*F1455</x:f>
        <x:v>17.6</x:v>
      </x:c>
    </x:row>
    <x:row r="1456" ht="15" hidden="0" customHeight="1">
      <x:c r="A1456" s="34" t="str">
        <x:v>STU0133</x:v>
      </x:c>
      <x:c r="B1456" s="35" t="str">
        <x:v>CSE1OOF - Assignment</x:v>
      </x:c>
      <x:c r="C1456" s="35" t="n">
        <x:v>88</x:v>
      </x:c>
      <x:c r="D1456" s="36" t="str">
        <x:v>This excellent result demonstrates confident and independent command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work is clear, accurate and well justified, with only minor opportunities to further polish explanation or evaluation.</x:v>
      </x:c>
      <x:c r="E1456" s="36" t="str">
        <x:v>SILO2: abstract data types and encapsulation to localise and minimise change; SILO3: code sharing and reuse through object-oriented techniques to reduce development time; SILO4: object-oriented design and implementation of computer programs for real-life problems</x:v>
      </x:c>
      <x:c r="F1456" s="35" t="n">
        <x:v>0.25</x:v>
      </x:c>
      <x:c r="G1456" s="37" t="n">
        <x:f>C1456*F1456</x:f>
        <x:v>22</x:v>
      </x:c>
    </x:row>
    <x:row r="1457" ht="15" hidden="0" customHeight="1">
      <x:c r="A1457" s="34" t="str">
        <x:v>STU0133</x:v>
      </x:c>
      <x:c r="B1457" s="35" t="str">
        <x:v>CSE1OOF - Central examination</x:v>
      </x:c>
      <x:c r="C1457" s="35" t="n">
        <x:v>84</x:v>
      </x:c>
      <x:c r="D1457" s="36" t="str">
        <x:v>This strong result shows well-developed understanding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Further improvement would come from deeper justification, more consistent evaluation evidence and tighter links between decisions and implementation details.</x:v>
      </x:c>
      <x:c r="E1457"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457" s="35" t="n">
        <x:v>0.4</x:v>
      </x:c>
      <x:c r="G1457" s="37" t="n">
        <x:f>C1457*F1457</x:f>
        <x:v>33.6</x:v>
      </x:c>
    </x:row>
    <x:row r="1458" ht="15" hidden="0" customHeight="1">
      <x:c r="A1458" s="34" t="str">
        <x:v>STU0133</x:v>
      </x:c>
      <x:c r="B1458" s="35" t="str">
        <x:v>CSE2ALG - Test</x:v>
      </x:c>
      <x:c r="C1458" s="35" t="n">
        <x:v>84</x:v>
      </x:c>
      <x:c r="D1458" s="36" t="str">
        <x:v>This strong result shows well-developed understanding of the relevant learning themes, particularly overall objectives of Algorithms and Data Structures, identifying data structures and searching and sorting algorithms in computing contexts, and implementing data structures and searching and sorting algorithms in Java. Further improvement would come from deeper justification, more consistent evaluation evidence and tighter links between decisions and implementation details.</x:v>
      </x:c>
      <x:c r="E1458" s="36" t="str">
        <x:v>SILO1: overall objectives of Algorithms and Data Structures; SILO2: identifying data structures and searching and sorting algorithms in computing contexts; SILO3: implementing data structures and searching and sorting algorithms in Java</x:v>
      </x:c>
      <x:c r="F1458" s="35" t="n">
        <x:v>0.2</x:v>
      </x:c>
      <x:c r="G1458" s="37" t="n">
        <x:f>C1458*F1458</x:f>
        <x:v>16.8</x:v>
      </x:c>
    </x:row>
    <x:row r="1459" ht="15" hidden="0" customHeight="1">
      <x:c r="A1459" s="34" t="str">
        <x:v>STU0133</x:v>
      </x:c>
      <x:c r="B1459" s="35" t="str">
        <x:v>CSE2ALG - Assignment</x:v>
      </x:c>
      <x:c r="C1459" s="35" t="n">
        <x:v>82</x:v>
      </x:c>
      <x:c r="D1459" s="36" t="str">
        <x:v>This strong result shows well-developed understanding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Further improvement would come from deeper justification, more consistent evaluation evidence and tighter links between decisions and implementation details.</x:v>
      </x:c>
      <x:c r="E1459"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459" s="35" t="n">
        <x:v>0.3</x:v>
      </x:c>
      <x:c r="G1459" s="37" t="n">
        <x:f>C1459*F1459</x:f>
        <x:v>24.599999999999998</x:v>
      </x:c>
    </x:row>
    <x:row r="1460" ht="15" hidden="0" customHeight="1">
      <x:c r="A1460" s="34" t="str">
        <x:v>STU0133</x:v>
      </x:c>
      <x:c r="B1460" s="35" t="str">
        <x:v>CSE2ALG - Central examination</x:v>
      </x:c>
      <x:c r="C1460" s="35" t="n">
        <x:v>84</x:v>
      </x:c>
      <x:c r="D1460" s="36" t="str">
        <x:v>This strong result shows well-developed understanding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Further improvement would come from deeper justification, more consistent evaluation evidence and tighter links between decisions and implementation details.</x:v>
      </x:c>
      <x:c r="E1460"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460" s="35" t="n">
        <x:v>0.5</x:v>
      </x:c>
      <x:c r="G1460" s="37" t="n">
        <x:f>C1460*F1460</x:f>
        <x:v>42</x:v>
      </x:c>
    </x:row>
    <x:row r="1461" ht="15" hidden="0" customHeight="1">
      <x:c r="A1461" s="34" t="str">
        <x:v>STU0133</x:v>
      </x:c>
      <x:c r="B1461" s="35" t="str">
        <x:v>CSE3CAP - Oral presentation: Project Milestone Presentation</x:v>
      </x:c>
      <x:c r="C1461" s="35" t="n">
        <x:v>85</x:v>
      </x:c>
      <x:c r="D1461" s="36" t="str">
        <x:v>This excellent result demonstrates confident and independent command of the relevant learning themes, particularly reporting project outcomes to technical and non-technical audiences and reflecting on feedback. The work is clear, accurate and well justified, with only minor opportunities to further polish explanation or evaluation.</x:v>
      </x:c>
      <x:c r="E1461" s="36" t="str">
        <x:v>SILO3: reporting project outcomes to technical and non-technical audiences and reflecting on feedback</x:v>
      </x:c>
      <x:c r="F1461" s="35" t="n">
        <x:v>0.1</x:v>
      </x:c>
      <x:c r="G1461" s="37" t="n">
        <x:f>C1461*F1461</x:f>
        <x:v>8.5</x:v>
      </x:c>
    </x:row>
    <x:row r="1462" ht="15" hidden="0" customHeight="1">
      <x:c r="A1462" s="34" t="str">
        <x:v>STU0133</x:v>
      </x:c>
      <x:c r="B1462" s="35" t="str">
        <x:v>CSE3CAP - Oral presentation: Final Project Presentation</x:v>
      </x:c>
      <x:c r="C1462" s="35" t="n">
        <x:v>84</x:v>
      </x:c>
      <x:c r="D1462"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1462" s="36" t="str">
        <x:v>SILO3: reporting project outcomes to technical and non-technical audiences and reflecting on feedback</x:v>
      </x:c>
      <x:c r="F1462" s="35" t="n">
        <x:v>0.2</x:v>
      </x:c>
      <x:c r="G1462" s="37" t="n">
        <x:f>C1462*F1462</x:f>
        <x:v>16.8</x:v>
      </x:c>
    </x:row>
    <x:row r="1463" ht="15" hidden="0" customHeight="1">
      <x:c r="A1463" s="34" t="str">
        <x:v>STU0133</x:v>
      </x:c>
      <x:c r="B1463" s="35" t="str">
        <x:v>CSE3CAP - Assignment: Final written Project Report</x:v>
      </x:c>
      <x:c r="C1463" s="35" t="n">
        <x:v>86</x:v>
      </x:c>
      <x:c r="D1463" s="36" t="str">
        <x:v>This excellent result demonstrates confident and independent command of the relevant learning themes, particularly industry standard technical solutions in software or cybersecurity practice and professional system documentation and advanced technical reporting to industry standards. The work is clear, accurate and well justified, with only minor opportunities to further polish explanation or evaluation.</x:v>
      </x:c>
      <x:c r="E1463" s="36" t="str">
        <x:v>SILO2: industry standard technical solutions in software or cybersecurity practice; SILO4: professional system documentation and advanced technical reporting to industry standards</x:v>
      </x:c>
      <x:c r="F1463" s="35" t="n">
        <x:v>0.35</x:v>
      </x:c>
      <x:c r="G1463" s="37" t="n">
        <x:f>C1463*F1463</x:f>
        <x:v>30.099999999999998</x:v>
      </x:c>
    </x:row>
    <x:row r="1464" ht="15" hidden="0" customHeight="1">
      <x:c r="A1464" s="34" t="str">
        <x:v>STU0133</x:v>
      </x:c>
      <x:c r="B1464" s="35" t="str">
        <x:v>CSE3CAP - Assignment: Sprint Project management reports</x:v>
      </x:c>
      <x:c r="C1464" s="35" t="n">
        <x:v>83</x:v>
      </x:c>
      <x:c r="D1464" s="36" t="str">
        <x:v>This strong result shows well-developed understanding of the relevant learning themes, particularly advanced project management during substantive development implementation and industry standard technical solutions in software or cybersecurity practice. Further improvement would come from deeper justification, more consistent evaluation evidence and tighter links between decisions and implementation details.</x:v>
      </x:c>
      <x:c r="E1464" s="36" t="str">
        <x:v>SILO1: advanced project management during substantive development implementation; SILO2: industry standard technical solutions in software or cybersecurity practice</x:v>
      </x:c>
      <x:c r="F1464" s="35" t="n">
        <x:v>0.35</x:v>
      </x:c>
      <x:c r="G1464" s="37" t="n">
        <x:f>C1464*F1464</x:f>
        <x:v>29.049999999999997</x:v>
      </x:c>
    </x:row>
    <x:row r="1465" ht="15" hidden="0" customHeight="1">
      <x:c r="A1465" s="34" t="str">
        <x:v>STU0134</x:v>
      </x:c>
      <x:c r="B1465" s="35" t="str">
        <x:v>CSE1OOF - Test</x:v>
      </x:c>
      <x:c r="C1465" s="35" t="n">
        <x:v>61</x:v>
      </x:c>
      <x:c r="D1465"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1465" s="36" t="str">
        <x:v>SILO1: analysis/design/implementation compared with object-oriented modelling using objects that combine data structure and behaviour; SILO2: abstract data types and encapsulation to localise and minimise change</x:v>
      </x:c>
      <x:c r="F1465" s="35" t="n">
        <x:v>0.15</x:v>
      </x:c>
      <x:c r="G1465" s="37" t="n">
        <x:f>C1465*F1465</x:f>
        <x:v>9.15</x:v>
      </x:c>
    </x:row>
    <x:row r="1466" ht="15" hidden="0" customHeight="1">
      <x:c r="A1466" s="34" t="str">
        <x:v>STU0134</x:v>
      </x:c>
      <x:c r="B1466" s="35" t="str">
        <x:v>CSE1OOF - Practical demonstration</x:v>
      </x:c>
      <x:c r="C1466" s="35" t="n">
        <x:v>63</x:v>
      </x:c>
      <x:c r="D1466"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466" s="36" t="str">
        <x:v>SILO2: abstract data types and encapsulation to localise and minimise change; SILO3: code sharing and reuse through object-oriented techniques to reduce development time; SILO4: object-oriented design and implementation of computer programs for real-life problems</x:v>
      </x:c>
      <x:c r="F1466" s="35" t="n">
        <x:v>0.2</x:v>
      </x:c>
      <x:c r="G1466" s="37" t="n">
        <x:f>C1466*F1466</x:f>
        <x:v>12.600000000000001</x:v>
      </x:c>
    </x:row>
    <x:row r="1467" ht="15" hidden="0" customHeight="1">
      <x:c r="A1467" s="34" t="str">
        <x:v>STU0134</x:v>
      </x:c>
      <x:c r="B1467" s="35" t="str">
        <x:v>CSE1OOF - Assignment</x:v>
      </x:c>
      <x:c r="C1467" s="35" t="n">
        <x:v>63</x:v>
      </x:c>
      <x:c r="D1467"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467" s="36" t="str">
        <x:v>SILO2: abstract data types and encapsulation to localise and minimise change; SILO3: code sharing and reuse through object-oriented techniques to reduce development time; SILO4: object-oriented design and implementation of computer programs for real-life problems</x:v>
      </x:c>
      <x:c r="F1467" s="35" t="n">
        <x:v>0.25</x:v>
      </x:c>
      <x:c r="G1467" s="37" t="n">
        <x:f>C1467*F1467</x:f>
        <x:v>15.75</x:v>
      </x:c>
    </x:row>
    <x:row r="1468" ht="15" hidden="0" customHeight="1">
      <x:c r="A1468" s="34" t="str">
        <x:v>STU0134</x:v>
      </x:c>
      <x:c r="B1468" s="35" t="str">
        <x:v>CSE1OOF - Central examination</x:v>
      </x:c>
      <x:c r="C1468" s="35" t="n">
        <x:v>57</x:v>
      </x:c>
      <x:c r="D1468" s="36" t="str">
        <x:v>This developing result meets the core requirements but needs greater consistency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Future work should focus on consolidating the underlying concepts, applying them more consistently and explaining design or implementation decisions with stronger evidence.</x:v>
      </x:c>
      <x:c r="E1468"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468" s="35" t="n">
        <x:v>0.4</x:v>
      </x:c>
      <x:c r="G1468" s="37" t="n">
        <x:f>C1468*F1468</x:f>
        <x:v>22.8</x:v>
      </x:c>
    </x:row>
    <x:row r="1469" ht="15" hidden="0" customHeight="1">
      <x:c r="A1469" s="34" t="str">
        <x:v>STU0134</x:v>
      </x:c>
      <x:c r="B1469" s="35" t="str">
        <x:v>CSE2ALG - Test</x:v>
      </x:c>
      <x:c r="C1469" s="35" t="n">
        <x:v>63</x:v>
      </x:c>
      <x:c r="D1469"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1469" s="36" t="str">
        <x:v>SILO1: overall objectives of Algorithms and Data Structures; SILO2: identifying data structures and searching and sorting algorithms in computing contexts; SILO3: implementing data structures and searching and sorting algorithms in Java</x:v>
      </x:c>
      <x:c r="F1469" s="35" t="n">
        <x:v>0.2</x:v>
      </x:c>
      <x:c r="G1469" s="37" t="n">
        <x:f>C1469*F1469</x:f>
        <x:v>12.600000000000001</x:v>
      </x:c>
    </x:row>
    <x:row r="1470" ht="15" hidden="0" customHeight="1">
      <x:c r="A1470" s="34" t="str">
        <x:v>STU0134</x:v>
      </x:c>
      <x:c r="B1470" s="35" t="str">
        <x:v>CSE2ALG - Assignment</x:v>
      </x:c>
      <x:c r="C1470" s="35" t="n">
        <x:v>63</x:v>
      </x:c>
      <x:c r="D1470"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1470"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470" s="35" t="n">
        <x:v>0.3</x:v>
      </x:c>
      <x:c r="G1470" s="37" t="n">
        <x:f>C1470*F1470</x:f>
        <x:v>18.9</x:v>
      </x:c>
    </x:row>
    <x:row r="1471" ht="15" hidden="0" customHeight="1">
      <x:c r="A1471" s="34" t="str">
        <x:v>STU0134</x:v>
      </x:c>
      <x:c r="B1471" s="35" t="str">
        <x:v>CSE2ALG - Central examination</x:v>
      </x:c>
      <x:c r="C1471" s="35" t="n">
        <x:v>59</x:v>
      </x:c>
      <x:c r="D1471" s="36" t="str">
        <x:v>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x:v>
      </x:c>
      <x:c r="E1471"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471" s="35" t="n">
        <x:v>0.5</x:v>
      </x:c>
      <x:c r="G1471" s="37" t="n">
        <x:f>C1471*F1471</x:f>
        <x:v>29.5</x:v>
      </x:c>
    </x:row>
    <x:row r="1472" ht="15" hidden="0" customHeight="1">
      <x:c r="A1472" s="34" t="str">
        <x:v>STU0134</x:v>
      </x:c>
      <x:c r="B1472" s="35" t="str">
        <x:v>CSE3CAP - Oral presentation: Project Milestone Presentation</x:v>
      </x:c>
      <x:c r="C1472" s="35" t="n">
        <x:v>60</x:v>
      </x:c>
      <x:c r="D1472"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472" s="36" t="str">
        <x:v>SILO3: reporting project outcomes to technical and non-technical audiences and reflecting on feedback</x:v>
      </x:c>
      <x:c r="F1472" s="35" t="n">
        <x:v>0.1</x:v>
      </x:c>
      <x:c r="G1472" s="37" t="n">
        <x:f>C1472*F1472</x:f>
        <x:v>6</x:v>
      </x:c>
    </x:row>
    <x:row r="1473" ht="15" hidden="0" customHeight="1">
      <x:c r="A1473" s="34" t="str">
        <x:v>STU0134</x:v>
      </x:c>
      <x:c r="B1473" s="35" t="str">
        <x:v>CSE3CAP - Oral presentation: Final Project Presentation</x:v>
      </x:c>
      <x:c r="C1473" s="35" t="n">
        <x:v>58</x:v>
      </x:c>
      <x:c r="D1473"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473" s="36" t="str">
        <x:v>SILO3: reporting project outcomes to technical and non-technical audiences and reflecting on feedback</x:v>
      </x:c>
      <x:c r="F1473" s="35" t="n">
        <x:v>0.2</x:v>
      </x:c>
      <x:c r="G1473" s="37" t="n">
        <x:f>C1473*F1473</x:f>
        <x:v>11.600000000000001</x:v>
      </x:c>
    </x:row>
    <x:row r="1474" ht="15" hidden="0" customHeight="1">
      <x:c r="A1474" s="34" t="str">
        <x:v>STU0134</x:v>
      </x:c>
      <x:c r="B1474" s="35" t="str">
        <x:v>CSE3CAP - Assignment: Final written Project Report</x:v>
      </x:c>
      <x:c r="C1474" s="35" t="n">
        <x:v>60</x:v>
      </x:c>
      <x:c r="D1474"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1474" s="36" t="str">
        <x:v>SILO2: industry standard technical solutions in software or cybersecurity practice; SILO4: professional system documentation and advanced technical reporting to industry standards</x:v>
      </x:c>
      <x:c r="F1474" s="35" t="n">
        <x:v>0.35</x:v>
      </x:c>
      <x:c r="G1474" s="37" t="n">
        <x:f>C1474*F1474</x:f>
        <x:v>21</x:v>
      </x:c>
    </x:row>
    <x:row r="1475" ht="15" hidden="0" customHeight="1">
      <x:c r="A1475" s="34" t="str">
        <x:v>STU0134</x:v>
      </x:c>
      <x:c r="B1475" s="35" t="str">
        <x:v>CSE3CAP - Assignment: Sprint Project management reports</x:v>
      </x:c>
      <x:c r="C1475" s="35" t="n">
        <x:v>61</x:v>
      </x:c>
      <x:c r="D1475"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1475" s="36" t="str">
        <x:v>SILO1: advanced project management during substantive development implementation; SILO2: industry standard technical solutions in software or cybersecurity practice</x:v>
      </x:c>
      <x:c r="F1475" s="35" t="n">
        <x:v>0.35</x:v>
      </x:c>
      <x:c r="G1475" s="37" t="n">
        <x:f>C1475*F1475</x:f>
        <x:v>21.349999999999998</x:v>
      </x:c>
    </x:row>
    <x:row r="1476" ht="15" hidden="0" customHeight="1">
      <x:c r="A1476" s="34" t="str">
        <x:v>STU0135</x:v>
      </x:c>
      <x:c r="B1476" s="35" t="str">
        <x:v>CSE1OOF - Test</x:v>
      </x:c>
      <x:c r="C1476" s="35" t="n">
        <x:v>63</x:v>
      </x:c>
      <x:c r="D1476"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1476" s="36" t="str">
        <x:v>SILO1: analysis/design/implementation compared with object-oriented modelling using objects that combine data structure and behaviour; SILO2: abstract data types and encapsulation to localise and minimise change</x:v>
      </x:c>
      <x:c r="F1476" s="35" t="n">
        <x:v>0.15</x:v>
      </x:c>
      <x:c r="G1476" s="37" t="n">
        <x:f>C1476*F1476</x:f>
        <x:v>9.45</x:v>
      </x:c>
    </x:row>
    <x:row r="1477" ht="15" hidden="0" customHeight="1">
      <x:c r="A1477" s="34" t="str">
        <x:v>STU0135</x:v>
      </x:c>
      <x:c r="B1477" s="35" t="str">
        <x:v>CSE1OOF - Practical demonstration</x:v>
      </x:c>
      <x:c r="C1477" s="35" t="n">
        <x:v>59</x:v>
      </x:c>
      <x:c r="D1477"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477" s="36" t="str">
        <x:v>SILO2: abstract data types and encapsulation to localise and minimise change; SILO3: code sharing and reuse through object-oriented techniques to reduce development time; SILO4: object-oriented design and implementation of computer programs for real-life problems</x:v>
      </x:c>
      <x:c r="F1477" s="35" t="n">
        <x:v>0.2</x:v>
      </x:c>
      <x:c r="G1477" s="37" t="n">
        <x:f>C1477*F1477</x:f>
        <x:v>11.8</x:v>
      </x:c>
    </x:row>
    <x:row r="1478" ht="15" hidden="0" customHeight="1">
      <x:c r="A1478" s="34" t="str">
        <x:v>STU0135</x:v>
      </x:c>
      <x:c r="B1478" s="35" t="str">
        <x:v>CSE1OOF - Assignment</x:v>
      </x:c>
      <x:c r="C1478" s="35" t="n">
        <x:v>63</x:v>
      </x:c>
      <x:c r="D1478"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478" s="36" t="str">
        <x:v>SILO2: abstract data types and encapsulation to localise and minimise change; SILO3: code sharing and reuse through object-oriented techniques to reduce development time; SILO4: object-oriented design and implementation of computer programs for real-life problems</x:v>
      </x:c>
      <x:c r="F1478" s="35" t="n">
        <x:v>0.25</x:v>
      </x:c>
      <x:c r="G1478" s="37" t="n">
        <x:f>C1478*F1478</x:f>
        <x:v>15.75</x:v>
      </x:c>
    </x:row>
    <x:row r="1479" ht="15" hidden="0" customHeight="1">
      <x:c r="A1479" s="34" t="str">
        <x:v>STU0135</x:v>
      </x:c>
      <x:c r="B1479" s="35" t="str">
        <x:v>CSE1OOF - Central examination</x:v>
      </x:c>
      <x:c r="C1479" s="35" t="n">
        <x:v>63</x:v>
      </x:c>
      <x:c r="D1479" s="36" t="str">
        <x:v>This developing result meets the core requirements but needs greater consistency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Future work should focus on consolidating the underlying concepts, applying them more consistently and explaining design or implementation decisions with stronger evidence.</x:v>
      </x:c>
      <x:c r="E1479"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479" s="35" t="n">
        <x:v>0.4</x:v>
      </x:c>
      <x:c r="G1479" s="37" t="n">
        <x:f>C1479*F1479</x:f>
        <x:v>25.200000000000003</x:v>
      </x:c>
    </x:row>
    <x:row r="1480" ht="15" hidden="0" customHeight="1">
      <x:c r="A1480" s="34" t="str">
        <x:v>STU0135</x:v>
      </x:c>
      <x:c r="B1480" s="35" t="str">
        <x:v>CSE2ALG - Test</x:v>
      </x:c>
      <x:c r="C1480" s="35" t="n">
        <x:v>58</x:v>
      </x:c>
      <x:c r="D1480"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1480" s="36" t="str">
        <x:v>SILO1: overall objectives of Algorithms and Data Structures; SILO2: identifying data structures and searching and sorting algorithms in computing contexts; SILO3: implementing data structures and searching and sorting algorithms in Java</x:v>
      </x:c>
      <x:c r="F1480" s="35" t="n">
        <x:v>0.2</x:v>
      </x:c>
      <x:c r="G1480" s="37" t="n">
        <x:f>C1480*F1480</x:f>
        <x:v>11.600000000000001</x:v>
      </x:c>
    </x:row>
    <x:row r="1481" ht="15" hidden="0" customHeight="1">
      <x:c r="A1481" s="34" t="str">
        <x:v>STU0135</x:v>
      </x:c>
      <x:c r="B1481" s="35" t="str">
        <x:v>CSE2ALG - Assignment</x:v>
      </x:c>
      <x:c r="C1481" s="35" t="n">
        <x:v>55</x:v>
      </x:c>
      <x:c r="D1481"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1481"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481" s="35" t="n">
        <x:v>0.3</x:v>
      </x:c>
      <x:c r="G1481" s="37" t="n">
        <x:f>C1481*F1481</x:f>
        <x:v>16.5</x:v>
      </x:c>
    </x:row>
    <x:row r="1482" ht="15" hidden="0" customHeight="1">
      <x:c r="A1482" s="34" t="str">
        <x:v>STU0135</x:v>
      </x:c>
      <x:c r="B1482" s="35" t="str">
        <x:v>CSE2ALG - Central examination</x:v>
      </x:c>
      <x:c r="C1482" s="35" t="n">
        <x:v>54</x:v>
      </x:c>
      <x:c r="D1482" s="36" t="str">
        <x:v>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x:v>
      </x:c>
      <x:c r="E1482"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482" s="35" t="n">
        <x:v>0.5</x:v>
      </x:c>
      <x:c r="G1482" s="37" t="n">
        <x:f>C1482*F1482</x:f>
        <x:v>27</x:v>
      </x:c>
    </x:row>
    <x:row r="1483" ht="15" hidden="0" customHeight="1">
      <x:c r="A1483" s="34" t="str">
        <x:v>STU0135</x:v>
      </x:c>
      <x:c r="B1483" s="35" t="str">
        <x:v>CSE3CAP - Oral presentation: Project Milestone Presentation</x:v>
      </x:c>
      <x:c r="C1483" s="35" t="n">
        <x:v>62</x:v>
      </x:c>
      <x:c r="D1483"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483" s="36" t="str">
        <x:v>SILO3: reporting project outcomes to technical and non-technical audiences and reflecting on feedback</x:v>
      </x:c>
      <x:c r="F1483" s="35" t="n">
        <x:v>0.1</x:v>
      </x:c>
      <x:c r="G1483" s="37" t="n">
        <x:f>C1483*F1483</x:f>
        <x:v>6.2</x:v>
      </x:c>
    </x:row>
    <x:row r="1484" ht="15" hidden="0" customHeight="1">
      <x:c r="A1484" s="34" t="str">
        <x:v>STU0135</x:v>
      </x:c>
      <x:c r="B1484" s="35" t="str">
        <x:v>CSE3CAP - Oral presentation: Final Project Presentation</x:v>
      </x:c>
      <x:c r="C1484" s="35" t="n">
        <x:v>63</x:v>
      </x:c>
      <x:c r="D1484"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484" s="36" t="str">
        <x:v>SILO3: reporting project outcomes to technical and non-technical audiences and reflecting on feedback</x:v>
      </x:c>
      <x:c r="F1484" s="35" t="n">
        <x:v>0.2</x:v>
      </x:c>
      <x:c r="G1484" s="37" t="n">
        <x:f>C1484*F1484</x:f>
        <x:v>12.600000000000001</x:v>
      </x:c>
    </x:row>
    <x:row r="1485" ht="15" hidden="0" customHeight="1">
      <x:c r="A1485" s="34" t="str">
        <x:v>STU0135</x:v>
      </x:c>
      <x:c r="B1485" s="35" t="str">
        <x:v>CSE3CAP - Assignment: Final written Project Report</x:v>
      </x:c>
      <x:c r="C1485" s="35" t="n">
        <x:v>57</x:v>
      </x:c>
      <x:c r="D1485"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1485" s="36" t="str">
        <x:v>SILO2: industry standard technical solutions in software or cybersecurity practice; SILO4: professional system documentation and advanced technical reporting to industry standards</x:v>
      </x:c>
      <x:c r="F1485" s="35" t="n">
        <x:v>0.35</x:v>
      </x:c>
      <x:c r="G1485" s="37" t="n">
        <x:f>C1485*F1485</x:f>
        <x:v>19.95</x:v>
      </x:c>
    </x:row>
    <x:row r="1486" ht="15" hidden="0" customHeight="1">
      <x:c r="A1486" s="34" t="str">
        <x:v>STU0135</x:v>
      </x:c>
      <x:c r="B1486" s="35" t="str">
        <x:v>CSE3CAP - Assignment: Sprint Project management reports</x:v>
      </x:c>
      <x:c r="C1486" s="35" t="n">
        <x:v>59</x:v>
      </x:c>
      <x:c r="D1486"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1486" s="36" t="str">
        <x:v>SILO1: advanced project management during substantive development implementation; SILO2: industry standard technical solutions in software or cybersecurity practice</x:v>
      </x:c>
      <x:c r="F1486" s="35" t="n">
        <x:v>0.35</x:v>
      </x:c>
      <x:c r="G1486" s="37" t="n">
        <x:f>C1486*F1486</x:f>
        <x:v>20.65</x:v>
      </x:c>
    </x:row>
    <x:row r="1487" ht="15" hidden="0" customHeight="1">
      <x:c r="A1487" s="34" t="str">
        <x:v>STU0136</x:v>
      </x:c>
      <x:c r="B1487" s="35" t="str">
        <x:v>CSE1OOF - Test</x:v>
      </x:c>
      <x:c r="C1487" s="35" t="n">
        <x:v>48</x:v>
      </x:c>
      <x:c r="D1487" s="36" t="str">
        <x:v>This limited result shows gaps that require targeted revision of the relevant learning themes, particularly analysis/design/implementation compared with object-oriented modelling using objects that combine data structure and behaviour and abstract data types and encapsulation to localise and minimise change. The student should revisit the core concepts, seek feedback early and practise applying the techniques in smaller, well-tested examples before attempting the full assessment task.</x:v>
      </x:c>
      <x:c r="E1487" s="36" t="str">
        <x:v>SILO1: analysis/design/implementation compared with object-oriented modelling using objects that combine data structure and behaviour; SILO2: abstract data types and encapsulation to localise and minimise change</x:v>
      </x:c>
      <x:c r="F1487" s="35" t="n">
        <x:v>0.15</x:v>
      </x:c>
      <x:c r="G1487" s="37" t="n">
        <x:f>C1487*F1487</x:f>
        <x:v>7.199999999999999</x:v>
      </x:c>
    </x:row>
    <x:row r="1488" ht="15" hidden="0" customHeight="1">
      <x:c r="A1488" s="34" t="str">
        <x:v>STU0136</x:v>
      </x:c>
      <x:c r="B1488" s="35" t="str">
        <x:v>CSE1OOF - Practical demonstration</x:v>
      </x:c>
      <x:c r="C1488" s="35" t="n">
        <x:v>47</x:v>
      </x:c>
      <x:c r="D1488" s="36" t="str">
        <x:v>This limited result shows gaps that require targeted revision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student should revisit the core concepts, seek feedback early and practise applying the techniques in smaller, well-tested examples before attempting the full assessment task.</x:v>
      </x:c>
      <x:c r="E1488" s="36" t="str">
        <x:v>SILO2: abstract data types and encapsulation to localise and minimise change; SILO3: code sharing and reuse through object-oriented techniques to reduce development time; SILO4: object-oriented design and implementation of computer programs for real-life problems</x:v>
      </x:c>
      <x:c r="F1488" s="35" t="n">
        <x:v>0.2</x:v>
      </x:c>
      <x:c r="G1488" s="37" t="n">
        <x:f>C1488*F1488</x:f>
        <x:v>9.4</x:v>
      </x:c>
    </x:row>
    <x:row r="1489" ht="15" hidden="0" customHeight="1">
      <x:c r="A1489" s="34" t="str">
        <x:v>STU0136</x:v>
      </x:c>
      <x:c r="B1489" s="35" t="str">
        <x:v>CSE1OOF - Assignment</x:v>
      </x:c>
      <x:c r="C1489" s="35" t="n">
        <x:v>47</x:v>
      </x:c>
      <x:c r="D1489" s="36" t="str">
        <x:v>This limited result shows gaps that require targeted revision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student should revisit the core concepts, seek feedback early and practise applying the techniques in smaller, well-tested examples before attempting the full assessment task.</x:v>
      </x:c>
      <x:c r="E1489" s="36" t="str">
        <x:v>SILO2: abstract data types and encapsulation to localise and minimise change; SILO3: code sharing and reuse through object-oriented techniques to reduce development time; SILO4: object-oriented design and implementation of computer programs for real-life problems</x:v>
      </x:c>
      <x:c r="F1489" s="35" t="n">
        <x:v>0.25</x:v>
      </x:c>
      <x:c r="G1489" s="37" t="n">
        <x:f>C1489*F1489</x:f>
        <x:v>11.75</x:v>
      </x:c>
    </x:row>
    <x:row r="1490" ht="15" hidden="0" customHeight="1">
      <x:c r="A1490" s="34" t="str">
        <x:v>STU0136</x:v>
      </x:c>
      <x:c r="B1490" s="35" t="str">
        <x:v>CSE1OOF - Central examination</x:v>
      </x:c>
      <x:c r="C1490" s="35" t="n">
        <x:v>49</x:v>
      </x:c>
      <x:c r="D1490" s="36" t="str">
        <x:v>This limited result shows gaps that require targeted revision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The student should revisit the core concepts, seek feedback early and practise applying the techniques in smaller, well-tested examples before attempting the full assessment task.</x:v>
      </x:c>
      <x:c r="E1490"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490" s="35" t="n">
        <x:v>0.4</x:v>
      </x:c>
      <x:c r="G1490" s="37" t="n">
        <x:f>C1490*F1490</x:f>
        <x:v>19.6</x:v>
      </x:c>
    </x:row>
    <x:row r="1491" ht="15" hidden="0" customHeight="1">
      <x:c r="A1491" s="34" t="str">
        <x:v>STU0136</x:v>
      </x:c>
      <x:c r="B1491" s="35" t="str">
        <x:v>CSE2ALG - Test</x:v>
      </x:c>
      <x:c r="C1491" s="35" t="n">
        <x:v>52</x:v>
      </x:c>
      <x:c r="D1491"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1491" s="36" t="str">
        <x:v>SILO1: overall objectives of Algorithms and Data Structures; SILO2: identifying data structures and searching and sorting algorithms in computing contexts; SILO3: implementing data structures and searching and sorting algorithms in Java</x:v>
      </x:c>
      <x:c r="F1491" s="35" t="n">
        <x:v>0.2</x:v>
      </x:c>
      <x:c r="G1491" s="37" t="n">
        <x:f>C1491*F1491</x:f>
        <x:v>10.4</x:v>
      </x:c>
    </x:row>
    <x:row r="1492" ht="15" hidden="0" customHeight="1">
      <x:c r="A1492" s="34" t="str">
        <x:v>STU0136</x:v>
      </x:c>
      <x:c r="B1492" s="35" t="str">
        <x:v>CSE2ALG - Assignment</x:v>
      </x:c>
      <x:c r="C1492" s="35" t="n">
        <x:v>49</x:v>
      </x:c>
      <x:c r="D1492" s="36" t="str">
        <x:v>This limited result shows gaps that require targeted revision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The student should revisit the core concepts, seek feedback early and practise applying the techniques in smaller, well-tested examples before attempting the full assessment task.</x:v>
      </x:c>
      <x:c r="E1492"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492" s="35" t="n">
        <x:v>0.3</x:v>
      </x:c>
      <x:c r="G1492" s="37" t="n">
        <x:f>C1492*F1492</x:f>
        <x:v>14.7</x:v>
      </x:c>
    </x:row>
    <x:row r="1493" ht="15" hidden="0" customHeight="1">
      <x:c r="A1493" s="34" t="str">
        <x:v>STU0136</x:v>
      </x:c>
      <x:c r="B1493" s="35" t="str">
        <x:v>CSE2ALG - Central examination</x:v>
      </x:c>
      <x:c r="C1493" s="35" t="n">
        <x:v>47</x:v>
      </x:c>
      <x:c r="D1493" s="36" t="str">
        <x:v>This limited result shows gaps that require targeted revision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The student should revisit the core concepts, seek feedback early and practise applying the techniques in smaller, well-tested examples before attempting the full assessment task.</x:v>
      </x:c>
      <x:c r="E1493"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493" s="35" t="n">
        <x:v>0.5</x:v>
      </x:c>
      <x:c r="G1493" s="37" t="n">
        <x:f>C1493*F1493</x:f>
        <x:v>23.5</x:v>
      </x:c>
    </x:row>
    <x:row r="1494" ht="15" hidden="0" customHeight="1">
      <x:c r="A1494" s="34" t="str">
        <x:v>STU0136</x:v>
      </x:c>
      <x:c r="B1494" s="35" t="str">
        <x:v>CSE3CAP - Oral presentation: Project Milestone Presentation</x:v>
      </x:c>
      <x:c r="C1494" s="35" t="n">
        <x:v>48</x:v>
      </x:c>
      <x:c r="D1494" s="36" t="str">
        <x:v>This limited result shows gaps that require targeted revision of the relevant learning themes, particularly reporting project outcomes to technical and non-technical audiences and reflecting on feedback. The student should revisit the core concepts, seek feedback early and practise applying the techniques in smaller, well-tested examples before attempting the full assessment task.</x:v>
      </x:c>
      <x:c r="E1494" s="36" t="str">
        <x:v>SILO3: reporting project outcomes to technical and non-technical audiences and reflecting on feedback</x:v>
      </x:c>
      <x:c r="F1494" s="35" t="n">
        <x:v>0.1</x:v>
      </x:c>
      <x:c r="G1494" s="37" t="n">
        <x:f>C1494*F1494</x:f>
        <x:v>4.800000000000001</x:v>
      </x:c>
    </x:row>
    <x:row r="1495" ht="15" hidden="0" customHeight="1">
      <x:c r="A1495" s="34" t="str">
        <x:v>STU0136</x:v>
      </x:c>
      <x:c r="B1495" s="35" t="str">
        <x:v>CSE3CAP - Oral presentation: Final Project Presentation</x:v>
      </x:c>
      <x:c r="C1495" s="35" t="n">
        <x:v>48</x:v>
      </x:c>
      <x:c r="D1495" s="36" t="str">
        <x:v>This limited result shows gaps that require targeted revision of the relevant learning themes, particularly reporting project outcomes to technical and non-technical audiences and reflecting on feedback. The student should revisit the core concepts, seek feedback early and practise applying the techniques in smaller, well-tested examples before attempting the full assessment task.</x:v>
      </x:c>
      <x:c r="E1495" s="36" t="str">
        <x:v>SILO3: reporting project outcomes to technical and non-technical audiences and reflecting on feedback</x:v>
      </x:c>
      <x:c r="F1495" s="35" t="n">
        <x:v>0.2</x:v>
      </x:c>
      <x:c r="G1495" s="37" t="n">
        <x:f>C1495*F1495</x:f>
        <x:v>9.600000000000001</x:v>
      </x:c>
    </x:row>
    <x:row r="1496" ht="15" hidden="0" customHeight="1">
      <x:c r="A1496" s="34" t="str">
        <x:v>STU0136</x:v>
      </x:c>
      <x:c r="B1496" s="35" t="str">
        <x:v>CSE3CAP - Assignment: Final written Project Report</x:v>
      </x:c>
      <x:c r="C1496" s="35" t="n">
        <x:v>45</x:v>
      </x:c>
      <x:c r="D1496" s="36" t="str">
        <x:v>This limited result shows gaps that require targeted revision of the relevant learning themes, particularly industry standard technical solutions in software or cybersecurity practice and professional system documentation and advanced technical reporting to industry standards. The student should revisit the core concepts, seek feedback early and practise applying the techniques in smaller, well-tested examples before attempting the full assessment task.</x:v>
      </x:c>
      <x:c r="E1496" s="36" t="str">
        <x:v>SILO2: industry standard technical solutions in software or cybersecurity practice; SILO4: professional system documentation and advanced technical reporting to industry standards</x:v>
      </x:c>
      <x:c r="F1496" s="35" t="n">
        <x:v>0.35</x:v>
      </x:c>
      <x:c r="G1496" s="37" t="n">
        <x:f>C1496*F1496</x:f>
        <x:v>15.749999999999998</x:v>
      </x:c>
    </x:row>
    <x:row r="1497" ht="15" hidden="0" customHeight="1">
      <x:c r="A1497" s="34" t="str">
        <x:v>STU0136</x:v>
      </x:c>
      <x:c r="B1497" s="35" t="str">
        <x:v>CSE3CAP - Assignment: Sprint Project management reports</x:v>
      </x:c>
      <x:c r="C1497" s="35" t="n">
        <x:v>46</x:v>
      </x:c>
      <x:c r="D1497" s="36" t="str">
        <x:v>This limited result shows gaps that require targeted revision of the relevant learning themes, particularly advanced project management during substantive development implementation and industry standard technical solutions in software or cybersecurity practice. The student should revisit the core concepts, seek feedback early and practise applying the techniques in smaller, well-tested examples before attempting the full assessment task.</x:v>
      </x:c>
      <x:c r="E1497" s="36" t="str">
        <x:v>SILO1: advanced project management during substantive development implementation; SILO2: industry standard technical solutions in software or cybersecurity practice</x:v>
      </x:c>
      <x:c r="F1497" s="35" t="n">
        <x:v>0.35</x:v>
      </x:c>
      <x:c r="G1497" s="37" t="n">
        <x:f>C1497*F1497</x:f>
        <x:v>16.099999999999998</x:v>
      </x:c>
    </x:row>
    <x:row r="1498" ht="15" hidden="0" customHeight="1">
      <x:c r="A1498" s="34" t="str">
        <x:v>STU0137</x:v>
      </x:c>
      <x:c r="B1498" s="35" t="str">
        <x:v>CSE1OOF - Test</x:v>
      </x:c>
      <x:c r="C1498" s="35" t="n">
        <x:v>90</x:v>
      </x:c>
      <x:c r="D1498" s="36" t="str">
        <x:v>This excellent result demonstrates confident and independent command of the relevant learning themes, particularly analysis/design/implementation compared with object-oriented modelling using objects that combine data structure and behaviour and abstract data types and encapsulation to localise and minimise change. The work is clear, accurate and well justified, with only minor opportunities to further polish explanation or evaluation.</x:v>
      </x:c>
      <x:c r="E1498" s="36" t="str">
        <x:v>SILO1: analysis/design/implementation compared with object-oriented modelling using objects that combine data structure and behaviour; SILO2: abstract data types and encapsulation to localise and minimise change</x:v>
      </x:c>
      <x:c r="F1498" s="35" t="n">
        <x:v>0.15</x:v>
      </x:c>
      <x:c r="G1498" s="37" t="n">
        <x:f>C1498*F1498</x:f>
        <x:v>13.5</x:v>
      </x:c>
    </x:row>
    <x:row r="1499" ht="15" hidden="0" customHeight="1">
      <x:c r="A1499" s="34" t="str">
        <x:v>STU0137</x:v>
      </x:c>
      <x:c r="B1499" s="35" t="str">
        <x:v>CSE1OOF - Practical demonstration</x:v>
      </x:c>
      <x:c r="C1499" s="35" t="n">
        <x:v>91</x:v>
      </x:c>
      <x:c r="D1499" s="36" t="str">
        <x:v>This excellent result demonstrates confident and independent command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work is clear, accurate and well justified, with only minor opportunities to further polish explanation or evaluation.</x:v>
      </x:c>
      <x:c r="E1499" s="36" t="str">
        <x:v>SILO2: abstract data types and encapsulation to localise and minimise change; SILO3: code sharing and reuse through object-oriented techniques to reduce development time; SILO4: object-oriented design and implementation of computer programs for real-life problems</x:v>
      </x:c>
      <x:c r="F1499" s="35" t="n">
        <x:v>0.2</x:v>
      </x:c>
      <x:c r="G1499" s="37" t="n">
        <x:f>C1499*F1499</x:f>
        <x:v>18.2</x:v>
      </x:c>
    </x:row>
    <x:row r="1500" ht="15" hidden="0" customHeight="1">
      <x:c r="A1500" s="34" t="str">
        <x:v>STU0137</x:v>
      </x:c>
      <x:c r="B1500" s="35" t="str">
        <x:v>CSE1OOF - Assignment</x:v>
      </x:c>
      <x:c r="C1500" s="35" t="n">
        <x:v>94</x:v>
      </x:c>
      <x:c r="D1500" s="36" t="str">
        <x:v>This excellent result demonstrates confident and independent command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work is clear, accurate and well justified, with only minor opportunities to further polish explanation or evaluation.</x:v>
      </x:c>
      <x:c r="E1500" s="36" t="str">
        <x:v>SILO2: abstract data types and encapsulation to localise and minimise change; SILO3: code sharing and reuse through object-oriented techniques to reduce development time; SILO4: object-oriented design and implementation of computer programs for real-life problems</x:v>
      </x:c>
      <x:c r="F1500" s="35" t="n">
        <x:v>0.25</x:v>
      </x:c>
      <x:c r="G1500" s="37" t="n">
        <x:f>C1500*F1500</x:f>
        <x:v>23.5</x:v>
      </x:c>
    </x:row>
    <x:row r="1501" ht="15" hidden="0" customHeight="1">
      <x:c r="A1501" s="34" t="str">
        <x:v>STU0137</x:v>
      </x:c>
      <x:c r="B1501" s="35" t="str">
        <x:v>CSE1OOF - Central examination</x:v>
      </x:c>
      <x:c r="C1501" s="35" t="n">
        <x:v>90</x:v>
      </x:c>
      <x:c r="D1501" s="36" t="str">
        <x:v>This excellent result demonstrates confident and independent command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The work is clear, accurate and well justified, with only minor opportunities to further polish explanation or evaluation.</x:v>
      </x:c>
      <x:c r="E1501"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501" s="35" t="n">
        <x:v>0.4</x:v>
      </x:c>
      <x:c r="G1501" s="37" t="n">
        <x:f>C1501*F1501</x:f>
        <x:v>36</x:v>
      </x:c>
    </x:row>
    <x:row r="1502" ht="15" hidden="0" customHeight="1">
      <x:c r="A1502" s="34" t="str">
        <x:v>STU0137</x:v>
      </x:c>
      <x:c r="B1502" s="35" t="str">
        <x:v>CSE2ALG - Test</x:v>
      </x:c>
      <x:c r="C1502" s="35" t="n">
        <x:v>87</x:v>
      </x:c>
      <x:c r="D1502" s="36" t="str">
        <x:v>This excellent result demonstrates confident and independent command of the relevant learning themes, particularly overall objectives of Algorithms and Data Structures, identifying data structures and searching and sorting algorithms in computing contexts, and implementing data structures and searching and sorting algorithms in Java. The work is clear, accurate and well justified, with only minor opportunities to further polish explanation or evaluation.</x:v>
      </x:c>
      <x:c r="E1502" s="36" t="str">
        <x:v>SILO1: overall objectives of Algorithms and Data Structures; SILO2: identifying data structures and searching and sorting algorithms in computing contexts; SILO3: implementing data structures and searching and sorting algorithms in Java</x:v>
      </x:c>
      <x:c r="F1502" s="35" t="n">
        <x:v>0.2</x:v>
      </x:c>
      <x:c r="G1502" s="37" t="n">
        <x:f>C1502*F1502</x:f>
        <x:v>17.400000000000002</x:v>
      </x:c>
    </x:row>
    <x:row r="1503" ht="15" hidden="0" customHeight="1">
      <x:c r="A1503" s="34" t="str">
        <x:v>STU0137</x:v>
      </x:c>
      <x:c r="B1503" s="35" t="str">
        <x:v>CSE2ALG - Assignment</x:v>
      </x:c>
      <x:c r="C1503" s="35" t="n">
        <x:v>90</x:v>
      </x:c>
      <x:c r="D1503" s="36" t="str">
        <x:v>This excellent result demonstrates confident and independent command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The work is clear, accurate and well justified, with only minor opportunities to further polish explanation or evaluation.</x:v>
      </x:c>
      <x:c r="E1503"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503" s="35" t="n">
        <x:v>0.3</x:v>
      </x:c>
      <x:c r="G1503" s="37" t="n">
        <x:f>C1503*F1503</x:f>
        <x:v>27</x:v>
      </x:c>
    </x:row>
    <x:row r="1504" ht="15" hidden="0" customHeight="1">
      <x:c r="A1504" s="34" t="str">
        <x:v>STU0137</x:v>
      </x:c>
      <x:c r="B1504" s="35" t="str">
        <x:v>CSE2ALG - Central examination</x:v>
      </x:c>
      <x:c r="C1504" s="35" t="n">
        <x:v>88</x:v>
      </x:c>
      <x:c r="D1504" s="36" t="str">
        <x:v>This excellent result demonstrates confident and independent command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The work is clear, accurate and well justified, with only minor opportunities to further polish explanation or evaluation.</x:v>
      </x:c>
      <x:c r="E1504"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504" s="35" t="n">
        <x:v>0.5</x:v>
      </x:c>
      <x:c r="G1504" s="37" t="n">
        <x:f>C1504*F1504</x:f>
        <x:v>44</x:v>
      </x:c>
    </x:row>
    <x:row r="1505" ht="15" hidden="0" customHeight="1">
      <x:c r="A1505" s="34" t="str">
        <x:v>STU0137</x:v>
      </x:c>
      <x:c r="B1505" s="35" t="str">
        <x:v>CSE3CAP - Oral presentation: Project Milestone Presentation</x:v>
      </x:c>
      <x:c r="C1505" s="35" t="n">
        <x:v>94</x:v>
      </x:c>
      <x:c r="D1505" s="36" t="str">
        <x:v>This excellent result demonstrates confident and independent command of the relevant learning themes, particularly reporting project outcomes to technical and non-technical audiences and reflecting on feedback. The work is clear, accurate and well justified, with only minor opportunities to further polish explanation or evaluation.</x:v>
      </x:c>
      <x:c r="E1505" s="36" t="str">
        <x:v>SILO3: reporting project outcomes to technical and non-technical audiences and reflecting on feedback</x:v>
      </x:c>
      <x:c r="F1505" s="35" t="n">
        <x:v>0.1</x:v>
      </x:c>
      <x:c r="G1505" s="37" t="n">
        <x:f>C1505*F1505</x:f>
        <x:v>9.4</x:v>
      </x:c>
    </x:row>
    <x:row r="1506" ht="15" hidden="0" customHeight="1">
      <x:c r="A1506" s="34" t="str">
        <x:v>STU0137</x:v>
      </x:c>
      <x:c r="B1506" s="35" t="str">
        <x:v>CSE3CAP - Oral presentation: Final Project Presentation</x:v>
      </x:c>
      <x:c r="C1506" s="35" t="n">
        <x:v>94</x:v>
      </x:c>
      <x:c r="D1506" s="36" t="str">
        <x:v>This excellent result demonstrates confident and independent command of the relevant learning themes, particularly reporting project outcomes to technical and non-technical audiences and reflecting on feedback. The work is clear, accurate and well justified, with only minor opportunities to further polish explanation or evaluation.</x:v>
      </x:c>
      <x:c r="E1506" s="36" t="str">
        <x:v>SILO3: reporting project outcomes to technical and non-technical audiences and reflecting on feedback</x:v>
      </x:c>
      <x:c r="F1506" s="35" t="n">
        <x:v>0.2</x:v>
      </x:c>
      <x:c r="G1506" s="37" t="n">
        <x:f>C1506*F1506</x:f>
        <x:v>18.8</x:v>
      </x:c>
    </x:row>
    <x:row r="1507" ht="15" hidden="0" customHeight="1">
      <x:c r="A1507" s="34" t="str">
        <x:v>STU0137</x:v>
      </x:c>
      <x:c r="B1507" s="35" t="str">
        <x:v>CSE3CAP - Assignment: Final written Project Report</x:v>
      </x:c>
      <x:c r="C1507" s="35" t="n">
        <x:v>90</x:v>
      </x:c>
      <x:c r="D1507" s="36" t="str">
        <x:v>This excellent result demonstrates confident and independent command of the relevant learning themes, particularly industry standard technical solutions in software or cybersecurity practice and professional system documentation and advanced technical reporting to industry standards. The work is clear, accurate and well justified, with only minor opportunities to further polish explanation or evaluation.</x:v>
      </x:c>
      <x:c r="E1507" s="36" t="str">
        <x:v>SILO2: industry standard technical solutions in software or cybersecurity practice; SILO4: professional system documentation and advanced technical reporting to industry standards</x:v>
      </x:c>
      <x:c r="F1507" s="35" t="n">
        <x:v>0.35</x:v>
      </x:c>
      <x:c r="G1507" s="37" t="n">
        <x:f>C1507*F1507</x:f>
        <x:v>31.499999999999996</x:v>
      </x:c>
    </x:row>
    <x:row r="1508" ht="15" hidden="0" customHeight="1">
      <x:c r="A1508" s="34" t="str">
        <x:v>STU0137</x:v>
      </x:c>
      <x:c r="B1508" s="35" t="str">
        <x:v>CSE3CAP - Assignment: Sprint Project management reports</x:v>
      </x:c>
      <x:c r="C1508" s="35" t="n">
        <x:v>90</x:v>
      </x:c>
      <x:c r="D1508" s="36" t="str">
        <x:v>This excellent result demonstrates confident and independent command of the relevant learning themes, particularly advanced project management during substantive development implementation and industry standard technical solutions in software or cybersecurity practice. The work is clear, accurate and well justified, with only minor opportunities to further polish explanation or evaluation.</x:v>
      </x:c>
      <x:c r="E1508" s="36" t="str">
        <x:v>SILO1: advanced project management during substantive development implementation; SILO2: industry standard technical solutions in software or cybersecurity practice</x:v>
      </x:c>
      <x:c r="F1508" s="35" t="n">
        <x:v>0.35</x:v>
      </x:c>
      <x:c r="G1508" s="37" t="n">
        <x:f>C1508*F1508</x:f>
        <x:v>31.499999999999996</x:v>
      </x:c>
    </x:row>
    <x:row r="1509" ht="15" hidden="0" customHeight="1">
      <x:c r="A1509" s="34" t="str">
        <x:v>STU0138</x:v>
      </x:c>
      <x:c r="B1509" s="35" t="str">
        <x:v>CSE1OOF - Test</x:v>
      </x:c>
      <x:c r="C1509" s="35" t="n">
        <x:v>72</x:v>
      </x:c>
      <x:c r="D1509"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1509" s="36" t="str">
        <x:v>SILO1: analysis/design/implementation compared with object-oriented modelling using objects that combine data structure and behaviour; SILO2: abstract data types and encapsulation to localise and minimise change</x:v>
      </x:c>
      <x:c r="F1509" s="35" t="n">
        <x:v>0.15</x:v>
      </x:c>
      <x:c r="G1509" s="37" t="n">
        <x:f>C1509*F1509</x:f>
        <x:v>10.799999999999999</x:v>
      </x:c>
    </x:row>
    <x:row r="1510" ht="15" hidden="0" customHeight="1">
      <x:c r="A1510" s="34" t="str">
        <x:v>STU0138</x:v>
      </x:c>
      <x:c r="B1510" s="35" t="str">
        <x:v>CSE1OOF - Practical demonstration</x:v>
      </x:c>
      <x:c r="C1510" s="35" t="n">
        <x:v>71</x:v>
      </x:c>
      <x:c r="D1510"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510" s="36" t="str">
        <x:v>SILO2: abstract data types and encapsulation to localise and minimise change; SILO3: code sharing and reuse through object-oriented techniques to reduce development time; SILO4: object-oriented design and implementation of computer programs for real-life problems</x:v>
      </x:c>
      <x:c r="F1510" s="35" t="n">
        <x:v>0.2</x:v>
      </x:c>
      <x:c r="G1510" s="37" t="n">
        <x:f>C1510*F1510</x:f>
        <x:v>14.200000000000001</x:v>
      </x:c>
    </x:row>
    <x:row r="1511" ht="15" hidden="0" customHeight="1">
      <x:c r="A1511" s="34" t="str">
        <x:v>STU0138</x:v>
      </x:c>
      <x:c r="B1511" s="35" t="str">
        <x:v>CSE1OOF - Assignment</x:v>
      </x:c>
      <x:c r="C1511" s="35" t="n">
        <x:v>74</x:v>
      </x:c>
      <x:c r="D1511"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511" s="36" t="str">
        <x:v>SILO2: abstract data types and encapsulation to localise and minimise change; SILO3: code sharing and reuse through object-oriented techniques to reduce development time; SILO4: object-oriented design and implementation of computer programs for real-life problems</x:v>
      </x:c>
      <x:c r="F1511" s="35" t="n">
        <x:v>0.25</x:v>
      </x:c>
      <x:c r="G1511" s="37" t="n">
        <x:f>C1511*F1511</x:f>
        <x:v>18.5</x:v>
      </x:c>
    </x:row>
    <x:row r="1512" ht="15" hidden="0" customHeight="1">
      <x:c r="A1512" s="34" t="str">
        <x:v>STU0138</x:v>
      </x:c>
      <x:c r="B1512" s="35" t="str">
        <x:v>CSE1OOF - Central examination</x:v>
      </x:c>
      <x:c r="C1512" s="35" t="n">
        <x:v>70</x:v>
      </x:c>
      <x:c r="D1512"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1512"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512" s="35" t="n">
        <x:v>0.4</x:v>
      </x:c>
      <x:c r="G1512" s="37" t="n">
        <x:f>C1512*F1512</x:f>
        <x:v>28</x:v>
      </x:c>
    </x:row>
    <x:row r="1513" ht="15" hidden="0" customHeight="1">
      <x:c r="A1513" s="34" t="str">
        <x:v>STU0138</x:v>
      </x:c>
      <x:c r="B1513" s="35" t="str">
        <x:v>CSE2ALG - Test</x:v>
      </x:c>
      <x:c r="C1513" s="35" t="n">
        <x:v>67</x:v>
      </x:c>
      <x:c r="D1513"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1513" s="36" t="str">
        <x:v>SILO1: overall objectives of Algorithms and Data Structures; SILO2: identifying data structures and searching and sorting algorithms in computing contexts; SILO3: implementing data structures and searching and sorting algorithms in Java</x:v>
      </x:c>
      <x:c r="F1513" s="35" t="n">
        <x:v>0.2</x:v>
      </x:c>
      <x:c r="G1513" s="37" t="n">
        <x:f>C1513*F1513</x:f>
        <x:v>13.4</x:v>
      </x:c>
    </x:row>
    <x:row r="1514" ht="15" hidden="0" customHeight="1">
      <x:c r="A1514" s="34" t="str">
        <x:v>STU0138</x:v>
      </x:c>
      <x:c r="B1514" s="35" t="str">
        <x:v>CSE2ALG - Assignment</x:v>
      </x:c>
      <x:c r="C1514" s="35" t="n">
        <x:v>66</x:v>
      </x:c>
      <x:c r="D1514" s="36" t="str">
        <x:v>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x:v>
      </x:c>
      <x:c r="E1514"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514" s="35" t="n">
        <x:v>0.3</x:v>
      </x:c>
      <x:c r="G1514" s="37" t="n">
        <x:f>C1514*F1514</x:f>
        <x:v>19.8</x:v>
      </x:c>
    </x:row>
    <x:row r="1515" ht="15" hidden="0" customHeight="1">
      <x:c r="A1515" s="34" t="str">
        <x:v>STU0138</x:v>
      </x:c>
      <x:c r="B1515" s="35" t="str">
        <x:v>CSE2ALG - Central examination</x:v>
      </x:c>
      <x:c r="C1515" s="35" t="n">
        <x:v>65</x:v>
      </x:c>
      <x:c r="D1515"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1515"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515" s="35" t="n">
        <x:v>0.5</x:v>
      </x:c>
      <x:c r="G1515" s="37" t="n">
        <x:f>C1515*F1515</x:f>
        <x:v>32.5</x:v>
      </x:c>
    </x:row>
    <x:row r="1516" ht="15" hidden="0" customHeight="1">
      <x:c r="A1516" s="34" t="str">
        <x:v>STU0138</x:v>
      </x:c>
      <x:c r="B1516" s="35" t="str">
        <x:v>CSE3CAP - Oral presentation: Project Milestone Presentation</x:v>
      </x:c>
      <x:c r="C1516" s="35" t="n">
        <x:v>69</x:v>
      </x:c>
      <x:c r="D1516"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1516" s="36" t="str">
        <x:v>SILO3: reporting project outcomes to technical and non-technical audiences and reflecting on feedback</x:v>
      </x:c>
      <x:c r="F1516" s="35" t="n">
        <x:v>0.1</x:v>
      </x:c>
      <x:c r="G1516" s="37" t="n">
        <x:f>C1516*F1516</x:f>
        <x:v>6.9</x:v>
      </x:c>
    </x:row>
    <x:row r="1517" ht="15" hidden="0" customHeight="1">
      <x:c r="A1517" s="34" t="str">
        <x:v>STU0138</x:v>
      </x:c>
      <x:c r="B1517" s="35" t="str">
        <x:v>CSE3CAP - Oral presentation: Final Project Presentation</x:v>
      </x:c>
      <x:c r="C1517" s="35" t="n">
        <x:v>71</x:v>
      </x:c>
      <x:c r="D1517"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1517" s="36" t="str">
        <x:v>SILO3: reporting project outcomes to technical and non-technical audiences and reflecting on feedback</x:v>
      </x:c>
      <x:c r="F1517" s="35" t="n">
        <x:v>0.2</x:v>
      </x:c>
      <x:c r="G1517" s="37" t="n">
        <x:f>C1517*F1517</x:f>
        <x:v>14.200000000000001</x:v>
      </x:c>
    </x:row>
    <x:row r="1518" ht="15" hidden="0" customHeight="1">
      <x:c r="A1518" s="34" t="str">
        <x:v>STU0138</x:v>
      </x:c>
      <x:c r="B1518" s="35" t="str">
        <x:v>CSE3CAP - Assignment: Final written Project Report</x:v>
      </x:c>
      <x:c r="C1518" s="35" t="n">
        <x:v>66</x:v>
      </x:c>
      <x:c r="D1518" s="36" t="str">
        <x:v>This sound result shows a competent and generally reliable grasp of the relevant learning themes, particularly industry standard technical solutions in software or cybersecurity practice and professional system documentation and advanced technical reporting to industry standards. To strengthen the result, the student should provide clearer reasoning, improve technical precision and show more complete testing or reflection.</x:v>
      </x:c>
      <x:c r="E1518" s="36" t="str">
        <x:v>SILO2: industry standard technical solutions in software or cybersecurity practice; SILO4: professional system documentation and advanced technical reporting to industry standards</x:v>
      </x:c>
      <x:c r="F1518" s="35" t="n">
        <x:v>0.35</x:v>
      </x:c>
      <x:c r="G1518" s="37" t="n">
        <x:f>C1518*F1518</x:f>
        <x:v>23.099999999999998</x:v>
      </x:c>
    </x:row>
    <x:row r="1519" ht="15" hidden="0" customHeight="1">
      <x:c r="A1519" s="34" t="str">
        <x:v>STU0138</x:v>
      </x:c>
      <x:c r="B1519" s="35" t="str">
        <x:v>CSE3CAP - Assignment: Sprint Project management reports</x:v>
      </x:c>
      <x:c r="C1519" s="35" t="n">
        <x:v>70</x:v>
      </x:c>
      <x:c r="D1519" s="36" t="str">
        <x:v>This sound result shows a competent and generally reliable grasp of the relevant learning themes, particularly advanced project management during substantive development implementation and industry standard technical solutions in software or cybersecurity practice. To strengthen the result, the student should provide clearer reasoning, improve technical precision and show more complete testing or reflection.</x:v>
      </x:c>
      <x:c r="E1519" s="36" t="str">
        <x:v>SILO1: advanced project management during substantive development implementation; SILO2: industry standard technical solutions in software or cybersecurity practice</x:v>
      </x:c>
      <x:c r="F1519" s="35" t="n">
        <x:v>0.35</x:v>
      </x:c>
      <x:c r="G1519" s="37" t="n">
        <x:f>C1519*F1519</x:f>
        <x:v>24.5</x:v>
      </x:c>
    </x:row>
    <x:row r="1520" ht="15" hidden="0" customHeight="1">
      <x:c r="A1520" s="34" t="str">
        <x:v>STU0139</x:v>
      </x:c>
      <x:c r="B1520" s="35" t="str">
        <x:v>CSE1OOF - Test</x:v>
      </x:c>
      <x:c r="C1520" s="35" t="n">
        <x:v>59</x:v>
      </x:c>
      <x:c r="D1520"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1520" s="36" t="str">
        <x:v>SILO1: analysis/design/implementation compared with object-oriented modelling using objects that combine data structure and behaviour; SILO2: abstract data types and encapsulation to localise and minimise change</x:v>
      </x:c>
      <x:c r="F1520" s="35" t="n">
        <x:v>0.15</x:v>
      </x:c>
      <x:c r="G1520" s="37" t="n">
        <x:f>C1520*F1520</x:f>
        <x:v>8.85</x:v>
      </x:c>
    </x:row>
    <x:row r="1521" ht="15" hidden="0" customHeight="1">
      <x:c r="A1521" s="34" t="str">
        <x:v>STU0139</x:v>
      </x:c>
      <x:c r="B1521" s="35" t="str">
        <x:v>CSE1OOF - Practical demonstration</x:v>
      </x:c>
      <x:c r="C1521" s="35" t="n">
        <x:v>62</x:v>
      </x:c>
      <x:c r="D1521"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521" s="36" t="str">
        <x:v>SILO2: abstract data types and encapsulation to localise and minimise change; SILO3: code sharing and reuse through object-oriented techniques to reduce development time; SILO4: object-oriented design and implementation of computer programs for real-life problems</x:v>
      </x:c>
      <x:c r="F1521" s="35" t="n">
        <x:v>0.2</x:v>
      </x:c>
      <x:c r="G1521" s="37" t="n">
        <x:f>C1521*F1521</x:f>
        <x:v>12.4</x:v>
      </x:c>
    </x:row>
    <x:row r="1522" ht="15" hidden="0" customHeight="1">
      <x:c r="A1522" s="34" t="str">
        <x:v>STU0139</x:v>
      </x:c>
      <x:c r="B1522" s="35" t="str">
        <x:v>CSE1OOF - Assignment</x:v>
      </x:c>
      <x:c r="C1522" s="35" t="n">
        <x:v>62</x:v>
      </x:c>
      <x:c r="D1522"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522" s="36" t="str">
        <x:v>SILO2: abstract data types and encapsulation to localise and minimise change; SILO3: code sharing and reuse through object-oriented techniques to reduce development time; SILO4: object-oriented design and implementation of computer programs for real-life problems</x:v>
      </x:c>
      <x:c r="F1522" s="35" t="n">
        <x:v>0.25</x:v>
      </x:c>
      <x:c r="G1522" s="37" t="n">
        <x:f>C1522*F1522</x:f>
        <x:v>15.5</x:v>
      </x:c>
    </x:row>
    <x:row r="1523" ht="15" hidden="0" customHeight="1">
      <x:c r="A1523" s="34" t="str">
        <x:v>STU0139</x:v>
      </x:c>
      <x:c r="B1523" s="35" t="str">
        <x:v>CSE1OOF - Central examination</x:v>
      </x:c>
      <x:c r="C1523" s="35" t="n">
        <x:v>59</x:v>
      </x:c>
      <x:c r="D1523" s="36" t="str">
        <x:v>This developing result meets the core requirements but needs greater consistency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Future work should focus on consolidating the underlying concepts, applying them more consistently and explaining design or implementation decisions with stronger evidence.</x:v>
      </x:c>
      <x:c r="E1523"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523" s="35" t="n">
        <x:v>0.4</x:v>
      </x:c>
      <x:c r="G1523" s="37" t="n">
        <x:f>C1523*F1523</x:f>
        <x:v>23.6</x:v>
      </x:c>
    </x:row>
    <x:row r="1524" ht="15" hidden="0" customHeight="1">
      <x:c r="A1524" s="34" t="str">
        <x:v>STU0139</x:v>
      </x:c>
      <x:c r="B1524" s="35" t="str">
        <x:v>CSE2ALG - Test</x:v>
      </x:c>
      <x:c r="C1524" s="35" t="n">
        <x:v>61</x:v>
      </x:c>
      <x:c r="D1524"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1524" s="36" t="str">
        <x:v>SILO1: overall objectives of Algorithms and Data Structures; SILO2: identifying data structures and searching and sorting algorithms in computing contexts; SILO3: implementing data structures and searching and sorting algorithms in Java</x:v>
      </x:c>
      <x:c r="F1524" s="35" t="n">
        <x:v>0.2</x:v>
      </x:c>
      <x:c r="G1524" s="37" t="n">
        <x:f>C1524*F1524</x:f>
        <x:v>12.200000000000001</x:v>
      </x:c>
    </x:row>
    <x:row r="1525" ht="15" hidden="0" customHeight="1">
      <x:c r="A1525" s="34" t="str">
        <x:v>STU0139</x:v>
      </x:c>
      <x:c r="B1525" s="35" t="str">
        <x:v>CSE2ALG - Assignment</x:v>
      </x:c>
      <x:c r="C1525" s="35" t="n">
        <x:v>61</x:v>
      </x:c>
      <x:c r="D1525"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1525"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525" s="35" t="n">
        <x:v>0.3</x:v>
      </x:c>
      <x:c r="G1525" s="37" t="n">
        <x:f>C1525*F1525</x:f>
        <x:v>18.3</x:v>
      </x:c>
    </x:row>
    <x:row r="1526" ht="15" hidden="0" customHeight="1">
      <x:c r="A1526" s="34" t="str">
        <x:v>STU0139</x:v>
      </x:c>
      <x:c r="B1526" s="35" t="str">
        <x:v>CSE2ALG - Central examination</x:v>
      </x:c>
      <x:c r="C1526" s="35" t="n">
        <x:v>59</x:v>
      </x:c>
      <x:c r="D1526" s="36" t="str">
        <x:v>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x:v>
      </x:c>
      <x:c r="E1526"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526" s="35" t="n">
        <x:v>0.5</x:v>
      </x:c>
      <x:c r="G1526" s="37" t="n">
        <x:f>C1526*F1526</x:f>
        <x:v>29.5</x:v>
      </x:c>
    </x:row>
    <x:row r="1527" ht="15" hidden="0" customHeight="1">
      <x:c r="A1527" s="34" t="str">
        <x:v>STU0139</x:v>
      </x:c>
      <x:c r="B1527" s="35" t="str">
        <x:v>CSE3CAP - Oral presentation: Project Milestone Presentation</x:v>
      </x:c>
      <x:c r="C1527" s="35" t="n">
        <x:v>61</x:v>
      </x:c>
      <x:c r="D1527"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527" s="36" t="str">
        <x:v>SILO3: reporting project outcomes to technical and non-technical audiences and reflecting on feedback</x:v>
      </x:c>
      <x:c r="F1527" s="35" t="n">
        <x:v>0.1</x:v>
      </x:c>
      <x:c r="G1527" s="37" t="n">
        <x:f>C1527*F1527</x:f>
        <x:v>6.1000000000000005</x:v>
      </x:c>
    </x:row>
    <x:row r="1528" ht="15" hidden="0" customHeight="1">
      <x:c r="A1528" s="34" t="str">
        <x:v>STU0139</x:v>
      </x:c>
      <x:c r="B1528" s="35" t="str">
        <x:v>CSE3CAP - Oral presentation: Final Project Presentation</x:v>
      </x:c>
      <x:c r="C1528" s="35" t="n">
        <x:v>63</x:v>
      </x:c>
      <x:c r="D1528"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528" s="36" t="str">
        <x:v>SILO3: reporting project outcomes to technical and non-technical audiences and reflecting on feedback</x:v>
      </x:c>
      <x:c r="F1528" s="35" t="n">
        <x:v>0.2</x:v>
      </x:c>
      <x:c r="G1528" s="37" t="n">
        <x:f>C1528*F1528</x:f>
        <x:v>12.600000000000001</x:v>
      </x:c>
    </x:row>
    <x:row r="1529" ht="15" hidden="0" customHeight="1">
      <x:c r="A1529" s="34" t="str">
        <x:v>STU0139</x:v>
      </x:c>
      <x:c r="B1529" s="35" t="str">
        <x:v>CSE3CAP - Assignment: Final written Project Report</x:v>
      </x:c>
      <x:c r="C1529" s="35" t="n">
        <x:v>62</x:v>
      </x:c>
      <x:c r="D1529"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1529" s="36" t="str">
        <x:v>SILO2: industry standard technical solutions in software or cybersecurity practice; SILO4: professional system documentation and advanced technical reporting to industry standards</x:v>
      </x:c>
      <x:c r="F1529" s="35" t="n">
        <x:v>0.35</x:v>
      </x:c>
      <x:c r="G1529" s="37" t="n">
        <x:f>C1529*F1529</x:f>
        <x:v>21.7</x:v>
      </x:c>
    </x:row>
    <x:row r="1530" ht="15" hidden="0" customHeight="1">
      <x:c r="A1530" s="34" t="str">
        <x:v>STU0139</x:v>
      </x:c>
      <x:c r="B1530" s="35" t="str">
        <x:v>CSE3CAP - Assignment: Sprint Project management reports</x:v>
      </x:c>
      <x:c r="C1530" s="35" t="n">
        <x:v>65</x:v>
      </x:c>
      <x:c r="D1530" s="36" t="str">
        <x:v>This sound result shows a competent and generally reliable grasp of the relevant learning themes, particularly advanced project management during substantive development implementation and industry standard technical solutions in software or cybersecurity practice. To strengthen the result, the student should provide clearer reasoning, improve technical precision and show more complete testing or reflection.</x:v>
      </x:c>
      <x:c r="E1530" s="36" t="str">
        <x:v>SILO1: advanced project management during substantive development implementation; SILO2: industry standard technical solutions in software or cybersecurity practice</x:v>
      </x:c>
      <x:c r="F1530" s="35" t="n">
        <x:v>0.35</x:v>
      </x:c>
      <x:c r="G1530" s="37" t="n">
        <x:f>C1530*F1530</x:f>
        <x:v>22.75</x:v>
      </x:c>
    </x:row>
    <x:row r="1531" ht="15" hidden="0" customHeight="1">
      <x:c r="A1531" s="34" t="str">
        <x:v>STU0140</x:v>
      </x:c>
      <x:c r="B1531" s="35" t="str">
        <x:v>CSE1OOF - Test</x:v>
      </x:c>
      <x:c r="C1531" s="35" t="n">
        <x:v>53</x:v>
      </x:c>
      <x:c r="D1531" s="36" t="str">
        <x:v>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x:v>
      </x:c>
      <x:c r="E1531" s="36" t="str">
        <x:v>SILO1: analysis/design/implementation compared with object-oriented modelling using objects that combine data structure and behaviour; SILO2: abstract data types and encapsulation to localise and minimise change</x:v>
      </x:c>
      <x:c r="F1531" s="35" t="n">
        <x:v>0.15</x:v>
      </x:c>
      <x:c r="G1531" s="37" t="n">
        <x:f>C1531*F1531</x:f>
        <x:v>7.949999999999999</x:v>
      </x:c>
    </x:row>
    <x:row r="1532" ht="15" hidden="0" customHeight="1">
      <x:c r="A1532" s="34" t="str">
        <x:v>STU0140</x:v>
      </x:c>
      <x:c r="B1532" s="35" t="str">
        <x:v>CSE1OOF - Practical demonstration</x:v>
      </x:c>
      <x:c r="C1532" s="35" t="n">
        <x:v>56</x:v>
      </x:c>
      <x:c r="D1532"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532" s="36" t="str">
        <x:v>SILO2: abstract data types and encapsulation to localise and minimise change; SILO3: code sharing and reuse through object-oriented techniques to reduce development time; SILO4: object-oriented design and implementation of computer programs for real-life problems</x:v>
      </x:c>
      <x:c r="F1532" s="35" t="n">
        <x:v>0.2</x:v>
      </x:c>
      <x:c r="G1532" s="37" t="n">
        <x:f>C1532*F1532</x:f>
        <x:v>11.200000000000001</x:v>
      </x:c>
    </x:row>
    <x:row r="1533" ht="15" hidden="0" customHeight="1">
      <x:c r="A1533" s="34" t="str">
        <x:v>STU0140</x:v>
      </x:c>
      <x:c r="B1533" s="35" t="str">
        <x:v>CSE1OOF - Assignment</x:v>
      </x:c>
      <x:c r="C1533" s="35" t="n">
        <x:v>57</x:v>
      </x:c>
      <x:c r="D1533"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533" s="36" t="str">
        <x:v>SILO2: abstract data types and encapsulation to localise and minimise change; SILO3: code sharing and reuse through object-oriented techniques to reduce development time; SILO4: object-oriented design and implementation of computer programs for real-life problems</x:v>
      </x:c>
      <x:c r="F1533" s="35" t="n">
        <x:v>0.25</x:v>
      </x:c>
      <x:c r="G1533" s="37" t="n">
        <x:f>C1533*F1533</x:f>
        <x:v>14.25</x:v>
      </x:c>
    </x:row>
    <x:row r="1534" ht="15" hidden="0" customHeight="1">
      <x:c r="A1534" s="34" t="str">
        <x:v>STU0140</x:v>
      </x:c>
      <x:c r="B1534" s="35" t="str">
        <x:v>CSE1OOF - Central examination</x:v>
      </x:c>
      <x:c r="C1534" s="35" t="n">
        <x:v>54</x:v>
      </x:c>
      <x:c r="D1534" s="36" t="str">
        <x:v>This developing result meets the core requirements but needs greater consistency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Future work should focus on consolidating the underlying concepts, applying them more consistently and explaining design or implementation decisions with stronger evidence.</x:v>
      </x:c>
      <x:c r="E1534"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534" s="35" t="n">
        <x:v>0.4</x:v>
      </x:c>
      <x:c r="G1534" s="37" t="n">
        <x:f>C1534*F1534</x:f>
        <x:v>21.6</x:v>
      </x:c>
    </x:row>
    <x:row r="1535" ht="15" hidden="0" customHeight="1">
      <x:c r="A1535" s="34" t="str">
        <x:v>STU0140</x:v>
      </x:c>
      <x:c r="B1535" s="35" t="str">
        <x:v>CSE2ALG - Test</x:v>
      </x:c>
      <x:c r="C1535" s="35" t="n">
        <x:v>55</x:v>
      </x:c>
      <x:c r="D1535" s="36" t="str">
        <x:v>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x:v>
      </x:c>
      <x:c r="E1535" s="36" t="str">
        <x:v>SILO1: overall objectives of Algorithms and Data Structures; SILO2: identifying data structures and searching and sorting algorithms in computing contexts; SILO3: implementing data structures and searching and sorting algorithms in Java</x:v>
      </x:c>
      <x:c r="F1535" s="35" t="n">
        <x:v>0.2</x:v>
      </x:c>
      <x:c r="G1535" s="37" t="n">
        <x:f>C1535*F1535</x:f>
        <x:v>11</x:v>
      </x:c>
    </x:row>
    <x:row r="1536" ht="15" hidden="0" customHeight="1">
      <x:c r="A1536" s="34" t="str">
        <x:v>STU0140</x:v>
      </x:c>
      <x:c r="B1536" s="35" t="str">
        <x:v>CSE2ALG - Assignment</x:v>
      </x:c>
      <x:c r="C1536" s="35" t="n">
        <x:v>53</x:v>
      </x:c>
      <x:c r="D1536" s="36" t="str">
        <x:v>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x:v>
      </x:c>
      <x:c r="E1536"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536" s="35" t="n">
        <x:v>0.3</x:v>
      </x:c>
      <x:c r="G1536" s="37" t="n">
        <x:f>C1536*F1536</x:f>
        <x:v>15.899999999999999</x:v>
      </x:c>
    </x:row>
    <x:row r="1537" ht="15" hidden="0" customHeight="1">
      <x:c r="A1537" s="34" t="str">
        <x:v>STU0140</x:v>
      </x:c>
      <x:c r="B1537" s="35" t="str">
        <x:v>CSE2ALG - Central examination</x:v>
      </x:c>
      <x:c r="C1537" s="35" t="n">
        <x:v>56</x:v>
      </x:c>
      <x:c r="D1537" s="36" t="str">
        <x:v>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x:v>
      </x:c>
      <x:c r="E1537"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537" s="35" t="n">
        <x:v>0.5</x:v>
      </x:c>
      <x:c r="G1537" s="37" t="n">
        <x:f>C1537*F1537</x:f>
        <x:v>28</x:v>
      </x:c>
    </x:row>
    <x:row r="1538" ht="15" hidden="0" customHeight="1">
      <x:c r="A1538" s="34" t="str">
        <x:v>STU0140</x:v>
      </x:c>
      <x:c r="B1538" s="35" t="str">
        <x:v>CSE3CAP - Oral presentation: Project Milestone Presentation</x:v>
      </x:c>
      <x:c r="C1538" s="35" t="n">
        <x:v>57</x:v>
      </x:c>
      <x:c r="D1538"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538" s="36" t="str">
        <x:v>SILO3: reporting project outcomes to technical and non-technical audiences and reflecting on feedback</x:v>
      </x:c>
      <x:c r="F1538" s="35" t="n">
        <x:v>0.1</x:v>
      </x:c>
      <x:c r="G1538" s="37" t="n">
        <x:f>C1538*F1538</x:f>
        <x:v>5.7</x:v>
      </x:c>
    </x:row>
    <x:row r="1539" ht="15" hidden="0" customHeight="1">
      <x:c r="A1539" s="34" t="str">
        <x:v>STU0140</x:v>
      </x:c>
      <x:c r="B1539" s="35" t="str">
        <x:v>CSE3CAP - Oral presentation: Final Project Presentation</x:v>
      </x:c>
      <x:c r="C1539" s="35" t="n">
        <x:v>56</x:v>
      </x:c>
      <x:c r="D1539"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539" s="36" t="str">
        <x:v>SILO3: reporting project outcomes to technical and non-technical audiences and reflecting on feedback</x:v>
      </x:c>
      <x:c r="F1539" s="35" t="n">
        <x:v>0.2</x:v>
      </x:c>
      <x:c r="G1539" s="37" t="n">
        <x:f>C1539*F1539</x:f>
        <x:v>11.200000000000001</x:v>
      </x:c>
    </x:row>
    <x:row r="1540" ht="15" hidden="0" customHeight="1">
      <x:c r="A1540" s="34" t="str">
        <x:v>STU0140</x:v>
      </x:c>
      <x:c r="B1540" s="35" t="str">
        <x:v>CSE3CAP - Assignment: Final written Project Report</x:v>
      </x:c>
      <x:c r="C1540" s="35" t="n">
        <x:v>59</x:v>
      </x:c>
      <x:c r="D1540"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1540" s="36" t="str">
        <x:v>SILO2: industry standard technical solutions in software or cybersecurity practice; SILO4: professional system documentation and advanced technical reporting to industry standards</x:v>
      </x:c>
      <x:c r="F1540" s="35" t="n">
        <x:v>0.35</x:v>
      </x:c>
      <x:c r="G1540" s="37" t="n">
        <x:f>C1540*F1540</x:f>
        <x:v>20.65</x:v>
      </x:c>
    </x:row>
    <x:row r="1541" ht="15" hidden="0" customHeight="1">
      <x:c r="A1541" s="34" t="str">
        <x:v>STU0140</x:v>
      </x:c>
      <x:c r="B1541" s="35" t="str">
        <x:v>CSE3CAP - Assignment: Sprint Project management reports</x:v>
      </x:c>
      <x:c r="C1541" s="35" t="n">
        <x:v>59</x:v>
      </x:c>
      <x:c r="D1541"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1541" s="36" t="str">
        <x:v>SILO1: advanced project management during substantive development implementation; SILO2: industry standard technical solutions in software or cybersecurity practice</x:v>
      </x:c>
      <x:c r="F1541" s="35" t="n">
        <x:v>0.35</x:v>
      </x:c>
      <x:c r="G1541" s="37" t="n">
        <x:f>C1541*F1541</x:f>
        <x:v>20.65</x:v>
      </x:c>
    </x:row>
    <x:row r="1542" ht="15" hidden="0" customHeight="1">
      <x:c r="A1542" s="34" t="str">
        <x:v>STU0141</x:v>
      </x:c>
      <x:c r="B1542" s="35" t="str">
        <x:v>CSE1OOF - Test</x:v>
      </x:c>
      <x:c r="C1542" s="35" t="n">
        <x:v>67</x:v>
      </x:c>
      <x:c r="D1542"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1542" s="36" t="str">
        <x:v>SILO1: analysis/design/implementation compared with object-oriented modelling using objects that combine data structure and behaviour; SILO2: abstract data types and encapsulation to localise and minimise change</x:v>
      </x:c>
      <x:c r="F1542" s="35" t="n">
        <x:v>0.15</x:v>
      </x:c>
      <x:c r="G1542" s="37" t="n">
        <x:f>C1542*F1542</x:f>
        <x:v>10.049999999999999</x:v>
      </x:c>
    </x:row>
    <x:row r="1543" ht="15" hidden="0" customHeight="1">
      <x:c r="A1543" s="34" t="str">
        <x:v>STU0141</x:v>
      </x:c>
      <x:c r="B1543" s="35" t="str">
        <x:v>CSE1OOF - Practical demonstration</x:v>
      </x:c>
      <x:c r="C1543" s="35" t="n">
        <x:v>68</x:v>
      </x:c>
      <x:c r="D1543"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543" s="36" t="str">
        <x:v>SILO2: abstract data types and encapsulation to localise and minimise change; SILO3: code sharing and reuse through object-oriented techniques to reduce development time; SILO4: object-oriented design and implementation of computer programs for real-life problems</x:v>
      </x:c>
      <x:c r="F1543" s="35" t="n">
        <x:v>0.2</x:v>
      </x:c>
      <x:c r="G1543" s="37" t="n">
        <x:f>C1543*F1543</x:f>
        <x:v>13.600000000000001</x:v>
      </x:c>
    </x:row>
    <x:row r="1544" ht="15" hidden="0" customHeight="1">
      <x:c r="A1544" s="34" t="str">
        <x:v>STU0141</x:v>
      </x:c>
      <x:c r="B1544" s="35" t="str">
        <x:v>CSE1OOF - Assignment</x:v>
      </x:c>
      <x:c r="C1544" s="35" t="n">
        <x:v>66</x:v>
      </x:c>
      <x:c r="D1544"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544" s="36" t="str">
        <x:v>SILO2: abstract data types and encapsulation to localise and minimise change; SILO3: code sharing and reuse through object-oriented techniques to reduce development time; SILO4: object-oriented design and implementation of computer programs for real-life problems</x:v>
      </x:c>
      <x:c r="F1544" s="35" t="n">
        <x:v>0.25</x:v>
      </x:c>
      <x:c r="G1544" s="37" t="n">
        <x:f>C1544*F1544</x:f>
        <x:v>16.5</x:v>
      </x:c>
    </x:row>
    <x:row r="1545" ht="15" hidden="0" customHeight="1">
      <x:c r="A1545" s="34" t="str">
        <x:v>STU0141</x:v>
      </x:c>
      <x:c r="B1545" s="35" t="str">
        <x:v>CSE1OOF - Central examination</x:v>
      </x:c>
      <x:c r="C1545" s="35" t="n">
        <x:v>64</x:v>
      </x:c>
      <x:c r="D1545" s="36" t="str">
        <x:v>This developing result meets the core requirements but needs greater consistency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Future work should focus on consolidating the underlying concepts, applying them more consistently and explaining design or implementation decisions with stronger evidence.</x:v>
      </x:c>
      <x:c r="E1545"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545" s="35" t="n">
        <x:v>0.4</x:v>
      </x:c>
      <x:c r="G1545" s="37" t="n">
        <x:f>C1545*F1545</x:f>
        <x:v>25.6</x:v>
      </x:c>
    </x:row>
    <x:row r="1546" ht="15" hidden="0" customHeight="1">
      <x:c r="A1546" s="34" t="str">
        <x:v>STU0141</x:v>
      </x:c>
      <x:c r="B1546" s="35" t="str">
        <x:v>CSE2ALG - Test</x:v>
      </x:c>
      <x:c r="C1546" s="35" t="n">
        <x:v>65</x:v>
      </x:c>
      <x:c r="D1546"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1546" s="36" t="str">
        <x:v>SILO1: overall objectives of Algorithms and Data Structures; SILO2: identifying data structures and searching and sorting algorithms in computing contexts; SILO3: implementing data structures and searching and sorting algorithms in Java</x:v>
      </x:c>
      <x:c r="F1546" s="35" t="n">
        <x:v>0.2</x:v>
      </x:c>
      <x:c r="G1546" s="37" t="n">
        <x:f>C1546*F1546</x:f>
        <x:v>13</x:v>
      </x:c>
    </x:row>
    <x:row r="1547" ht="15" hidden="0" customHeight="1">
      <x:c r="A1547" s="34" t="str">
        <x:v>STU0141</x:v>
      </x:c>
      <x:c r="B1547" s="35" t="str">
        <x:v>CSE2ALG - Assignment</x:v>
      </x:c>
      <x:c r="C1547" s="35" t="n">
        <x:v>67</x:v>
      </x:c>
      <x:c r="D1547" s="36" t="str">
        <x:v>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x:v>
      </x:c>
      <x:c r="E1547"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547" s="35" t="n">
        <x:v>0.3</x:v>
      </x:c>
      <x:c r="G1547" s="37" t="n">
        <x:f>C1547*F1547</x:f>
        <x:v>20.099999999999998</x:v>
      </x:c>
    </x:row>
    <x:row r="1548" ht="15" hidden="0" customHeight="1">
      <x:c r="A1548" s="34" t="str">
        <x:v>STU0141</x:v>
      </x:c>
      <x:c r="B1548" s="35" t="str">
        <x:v>CSE2ALG - Central examination</x:v>
      </x:c>
      <x:c r="C1548" s="35" t="n">
        <x:v>67</x:v>
      </x:c>
      <x:c r="D1548"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1548"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548" s="35" t="n">
        <x:v>0.5</x:v>
      </x:c>
      <x:c r="G1548" s="37" t="n">
        <x:f>C1548*F1548</x:f>
        <x:v>33.5</x:v>
      </x:c>
    </x:row>
    <x:row r="1549" ht="15" hidden="0" customHeight="1">
      <x:c r="A1549" s="34" t="str">
        <x:v>STU0141</x:v>
      </x:c>
      <x:c r="B1549" s="35" t="str">
        <x:v>CSE3CAP - Oral presentation: Project Milestone Presentation</x:v>
      </x:c>
      <x:c r="C1549" s="35" t="n">
        <x:v>62</x:v>
      </x:c>
      <x:c r="D1549"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549" s="36" t="str">
        <x:v>SILO3: reporting project outcomes to technical and non-technical audiences and reflecting on feedback</x:v>
      </x:c>
      <x:c r="F1549" s="35" t="n">
        <x:v>0.1</x:v>
      </x:c>
      <x:c r="G1549" s="37" t="n">
        <x:f>C1549*F1549</x:f>
        <x:v>6.2</x:v>
      </x:c>
    </x:row>
    <x:row r="1550" ht="15" hidden="0" customHeight="1">
      <x:c r="A1550" s="34" t="str">
        <x:v>STU0141</x:v>
      </x:c>
      <x:c r="B1550" s="35" t="str">
        <x:v>CSE3CAP - Oral presentation: Final Project Presentation</x:v>
      </x:c>
      <x:c r="C1550" s="35" t="n">
        <x:v>67</x:v>
      </x:c>
      <x:c r="D1550"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1550" s="36" t="str">
        <x:v>SILO3: reporting project outcomes to technical and non-technical audiences and reflecting on feedback</x:v>
      </x:c>
      <x:c r="F1550" s="35" t="n">
        <x:v>0.2</x:v>
      </x:c>
      <x:c r="G1550" s="37" t="n">
        <x:f>C1550*F1550</x:f>
        <x:v>13.4</x:v>
      </x:c>
    </x:row>
    <x:row r="1551" ht="15" hidden="0" customHeight="1">
      <x:c r="A1551" s="34" t="str">
        <x:v>STU0141</x:v>
      </x:c>
      <x:c r="B1551" s="35" t="str">
        <x:v>CSE3CAP - Assignment: Final written Project Report</x:v>
      </x:c>
      <x:c r="C1551" s="35" t="n">
        <x:v>65</x:v>
      </x:c>
      <x:c r="D1551" s="36" t="str">
        <x:v>This sound result shows a competent and generally reliable grasp of the relevant learning themes, particularly industry standard technical solutions in software or cybersecurity practice and professional system documentation and advanced technical reporting to industry standards. To strengthen the result, the student should provide clearer reasoning, improve technical precision and show more complete testing or reflection.</x:v>
      </x:c>
      <x:c r="E1551" s="36" t="str">
        <x:v>SILO2: industry standard technical solutions in software or cybersecurity practice; SILO4: professional system documentation and advanced technical reporting to industry standards</x:v>
      </x:c>
      <x:c r="F1551" s="35" t="n">
        <x:v>0.35</x:v>
      </x:c>
      <x:c r="G1551" s="37" t="n">
        <x:f>C1551*F1551</x:f>
        <x:v>22.75</x:v>
      </x:c>
    </x:row>
    <x:row r="1552" ht="15" hidden="0" customHeight="1">
      <x:c r="A1552" s="34" t="str">
        <x:v>STU0141</x:v>
      </x:c>
      <x:c r="B1552" s="35" t="str">
        <x:v>CSE3CAP - Assignment: Sprint Project management reports</x:v>
      </x:c>
      <x:c r="C1552" s="35" t="n">
        <x:v>61</x:v>
      </x:c>
      <x:c r="D1552"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1552" s="36" t="str">
        <x:v>SILO1: advanced project management during substantive development implementation; SILO2: industry standard technical solutions in software or cybersecurity practice</x:v>
      </x:c>
      <x:c r="F1552" s="35" t="n">
        <x:v>0.35</x:v>
      </x:c>
      <x:c r="G1552" s="37" t="n">
        <x:f>C1552*F1552</x:f>
        <x:v>21.349999999999998</x:v>
      </x:c>
    </x:row>
    <x:row r="1553" ht="15" hidden="0" customHeight="1">
      <x:c r="A1553" s="34" t="str">
        <x:v>STU0142</x:v>
      </x:c>
      <x:c r="B1553" s="35" t="str">
        <x:v>CSE1OOF - Test</x:v>
      </x:c>
      <x:c r="C1553" s="35" t="n">
        <x:v>65</x:v>
      </x:c>
      <x:c r="D1553"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1553" s="36" t="str">
        <x:v>SILO1: analysis/design/implementation compared with object-oriented modelling using objects that combine data structure and behaviour; SILO2: abstract data types and encapsulation to localise and minimise change</x:v>
      </x:c>
      <x:c r="F1553" s="35" t="n">
        <x:v>0.15</x:v>
      </x:c>
      <x:c r="G1553" s="37" t="n">
        <x:f>C1553*F1553</x:f>
        <x:v>9.75</x:v>
      </x:c>
    </x:row>
    <x:row r="1554" ht="15" hidden="0" customHeight="1">
      <x:c r="A1554" s="34" t="str">
        <x:v>STU0142</x:v>
      </x:c>
      <x:c r="B1554" s="35" t="str">
        <x:v>CSE1OOF - Practical demonstration</x:v>
      </x:c>
      <x:c r="C1554" s="35" t="n">
        <x:v>71</x:v>
      </x:c>
      <x:c r="D1554"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554" s="36" t="str">
        <x:v>SILO2: abstract data types and encapsulation to localise and minimise change; SILO3: code sharing and reuse through object-oriented techniques to reduce development time; SILO4: object-oriented design and implementation of computer programs for real-life problems</x:v>
      </x:c>
      <x:c r="F1554" s="35" t="n">
        <x:v>0.2</x:v>
      </x:c>
      <x:c r="G1554" s="37" t="n">
        <x:f>C1554*F1554</x:f>
        <x:v>14.200000000000001</x:v>
      </x:c>
    </x:row>
    <x:row r="1555" ht="15" hidden="0" customHeight="1">
      <x:c r="A1555" s="34" t="str">
        <x:v>STU0142</x:v>
      </x:c>
      <x:c r="B1555" s="35" t="str">
        <x:v>CSE1OOF - Assignment</x:v>
      </x:c>
      <x:c r="C1555" s="35" t="n">
        <x:v>65</x:v>
      </x:c>
      <x:c r="D1555"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555" s="36" t="str">
        <x:v>SILO2: abstract data types and encapsulation to localise and minimise change; SILO3: code sharing and reuse through object-oriented techniques to reduce development time; SILO4: object-oriented design and implementation of computer programs for real-life problems</x:v>
      </x:c>
      <x:c r="F1555" s="35" t="n">
        <x:v>0.25</x:v>
      </x:c>
      <x:c r="G1555" s="37" t="n">
        <x:f>C1555*F1555</x:f>
        <x:v>16.25</x:v>
      </x:c>
    </x:row>
    <x:row r="1556" ht="15" hidden="0" customHeight="1">
      <x:c r="A1556" s="34" t="str">
        <x:v>STU0142</x:v>
      </x:c>
      <x:c r="B1556" s="35" t="str">
        <x:v>CSE1OOF - Central examination</x:v>
      </x:c>
      <x:c r="C1556" s="35" t="n">
        <x:v>65</x:v>
      </x:c>
      <x:c r="D1556"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1556"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556" s="35" t="n">
        <x:v>0.4</x:v>
      </x:c>
      <x:c r="G1556" s="37" t="n">
        <x:f>C1556*F1556</x:f>
        <x:v>26</x:v>
      </x:c>
    </x:row>
    <x:row r="1557" ht="15" hidden="0" customHeight="1">
      <x:c r="A1557" s="34" t="str">
        <x:v>STU0142</x:v>
      </x:c>
      <x:c r="B1557" s="35" t="str">
        <x:v>CSE2ALG - Test</x:v>
      </x:c>
      <x:c r="C1557" s="35" t="n">
        <x:v>72</x:v>
      </x:c>
      <x:c r="D1557"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1557" s="36" t="str">
        <x:v>SILO1: overall objectives of Algorithms and Data Structures; SILO2: identifying data structures and searching and sorting algorithms in computing contexts; SILO3: implementing data structures and searching and sorting algorithms in Java</x:v>
      </x:c>
      <x:c r="F1557" s="35" t="n">
        <x:v>0.2</x:v>
      </x:c>
      <x:c r="G1557" s="37" t="n">
        <x:f>C1557*F1557</x:f>
        <x:v>14.4</x:v>
      </x:c>
    </x:row>
    <x:row r="1558" ht="15" hidden="0" customHeight="1">
      <x:c r="A1558" s="34" t="str">
        <x:v>STU0142</x:v>
      </x:c>
      <x:c r="B1558" s="35" t="str">
        <x:v>CSE2ALG - Assignment</x:v>
      </x:c>
      <x:c r="C1558" s="35" t="n">
        <x:v>70</x:v>
      </x:c>
      <x:c r="D1558" s="36" t="str">
        <x:v>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x:v>
      </x:c>
      <x:c r="E1558"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558" s="35" t="n">
        <x:v>0.3</x:v>
      </x:c>
      <x:c r="G1558" s="37" t="n">
        <x:f>C1558*F1558</x:f>
        <x:v>21</x:v>
      </x:c>
    </x:row>
    <x:row r="1559" ht="15" hidden="0" customHeight="1">
      <x:c r="A1559" s="34" t="str">
        <x:v>STU0142</x:v>
      </x:c>
      <x:c r="B1559" s="35" t="str">
        <x:v>CSE2ALG - Central examination</x:v>
      </x:c>
      <x:c r="C1559" s="35" t="n">
        <x:v>68</x:v>
      </x:c>
      <x:c r="D1559"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1559"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559" s="35" t="n">
        <x:v>0.5</x:v>
      </x:c>
      <x:c r="G1559" s="37" t="n">
        <x:f>C1559*F1559</x:f>
        <x:v>34</x:v>
      </x:c>
    </x:row>
    <x:row r="1560" ht="15" hidden="0" customHeight="1">
      <x:c r="A1560" s="34" t="str">
        <x:v>STU0142</x:v>
      </x:c>
      <x:c r="B1560" s="35" t="str">
        <x:v>CSE3CAP - Oral presentation: Project Milestone Presentation</x:v>
      </x:c>
      <x:c r="C1560" s="35" t="n">
        <x:v>71</x:v>
      </x:c>
      <x:c r="D1560"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1560" s="36" t="str">
        <x:v>SILO3: reporting project outcomes to technical and non-technical audiences and reflecting on feedback</x:v>
      </x:c>
      <x:c r="F1560" s="35" t="n">
        <x:v>0.1</x:v>
      </x:c>
      <x:c r="G1560" s="37" t="n">
        <x:f>C1560*F1560</x:f>
        <x:v>7.1000000000000005</x:v>
      </x:c>
    </x:row>
    <x:row r="1561" ht="15" hidden="0" customHeight="1">
      <x:c r="A1561" s="34" t="str">
        <x:v>STU0142</x:v>
      </x:c>
      <x:c r="B1561" s="35" t="str">
        <x:v>CSE3CAP - Oral presentation: Final Project Presentation</x:v>
      </x:c>
      <x:c r="C1561" s="35" t="n">
        <x:v>68</x:v>
      </x:c>
      <x:c r="D1561"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1561" s="36" t="str">
        <x:v>SILO3: reporting project outcomes to technical and non-technical audiences and reflecting on feedback</x:v>
      </x:c>
      <x:c r="F1561" s="35" t="n">
        <x:v>0.2</x:v>
      </x:c>
      <x:c r="G1561" s="37" t="n">
        <x:f>C1561*F1561</x:f>
        <x:v>13.600000000000001</x:v>
      </x:c>
    </x:row>
    <x:row r="1562" ht="15" hidden="0" customHeight="1">
      <x:c r="A1562" s="34" t="str">
        <x:v>STU0142</x:v>
      </x:c>
      <x:c r="B1562" s="35" t="str">
        <x:v>CSE3CAP - Assignment: Final written Project Report</x:v>
      </x:c>
      <x:c r="C1562" s="35" t="n">
        <x:v>68</x:v>
      </x:c>
      <x:c r="D1562" s="36" t="str">
        <x:v>This sound result shows a competent and generally reliable grasp of the relevant learning themes, particularly industry standard technical solutions in software or cybersecurity practice and professional system documentation and advanced technical reporting to industry standards. To strengthen the result, the student should provide clearer reasoning, improve technical precision and show more complete testing or reflection.</x:v>
      </x:c>
      <x:c r="E1562" s="36" t="str">
        <x:v>SILO2: industry standard technical solutions in software or cybersecurity practice; SILO4: professional system documentation and advanced technical reporting to industry standards</x:v>
      </x:c>
      <x:c r="F1562" s="35" t="n">
        <x:v>0.35</x:v>
      </x:c>
      <x:c r="G1562" s="37" t="n">
        <x:f>C1562*F1562</x:f>
        <x:v>23.799999999999997</x:v>
      </x:c>
    </x:row>
    <x:row r="1563" ht="15" hidden="0" customHeight="1">
      <x:c r="A1563" s="34" t="str">
        <x:v>STU0142</x:v>
      </x:c>
      <x:c r="B1563" s="35" t="str">
        <x:v>CSE3CAP - Assignment: Sprint Project management reports</x:v>
      </x:c>
      <x:c r="C1563" s="35" t="n">
        <x:v>66</x:v>
      </x:c>
      <x:c r="D1563" s="36" t="str">
        <x:v>This sound result shows a competent and generally reliable grasp of the relevant learning themes, particularly advanced project management during substantive development implementation and industry standard technical solutions in software or cybersecurity practice. To strengthen the result, the student should provide clearer reasoning, improve technical precision and show more complete testing or reflection.</x:v>
      </x:c>
      <x:c r="E1563" s="36" t="str">
        <x:v>SILO1: advanced project management during substantive development implementation; SILO2: industry standard technical solutions in software or cybersecurity practice</x:v>
      </x:c>
      <x:c r="F1563" s="35" t="n">
        <x:v>0.35</x:v>
      </x:c>
      <x:c r="G1563" s="37" t="n">
        <x:f>C1563*F1563</x:f>
        <x:v>23.099999999999998</x:v>
      </x:c>
    </x:row>
    <x:row r="1564" ht="15" hidden="0" customHeight="1">
      <x:c r="A1564" s="34" t="str">
        <x:v>STU0143</x:v>
      </x:c>
      <x:c r="B1564" s="35" t="str">
        <x:v>CSE1OOF - Test</x:v>
      </x:c>
      <x:c r="C1564" s="35" t="n">
        <x:v>69</x:v>
      </x:c>
      <x:c r="D1564"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1564" s="36" t="str">
        <x:v>SILO1: analysis/design/implementation compared with object-oriented modelling using objects that combine data structure and behaviour; SILO2: abstract data types and encapsulation to localise and minimise change</x:v>
      </x:c>
      <x:c r="F1564" s="35" t="n">
        <x:v>0.15</x:v>
      </x:c>
      <x:c r="G1564" s="37" t="n">
        <x:f>C1564*F1564</x:f>
        <x:v>10.35</x:v>
      </x:c>
    </x:row>
    <x:row r="1565" ht="15" hidden="0" customHeight="1">
      <x:c r="A1565" s="34" t="str">
        <x:v>STU0143</x:v>
      </x:c>
      <x:c r="B1565" s="35" t="str">
        <x:v>CSE1OOF - Practical demonstration</x:v>
      </x:c>
      <x:c r="C1565" s="35" t="n">
        <x:v>68</x:v>
      </x:c>
      <x:c r="D1565"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565" s="36" t="str">
        <x:v>SILO2: abstract data types and encapsulation to localise and minimise change; SILO3: code sharing and reuse through object-oriented techniques to reduce development time; SILO4: object-oriented design and implementation of computer programs for real-life problems</x:v>
      </x:c>
      <x:c r="F1565" s="35" t="n">
        <x:v>0.2</x:v>
      </x:c>
      <x:c r="G1565" s="37" t="n">
        <x:f>C1565*F1565</x:f>
        <x:v>13.600000000000001</x:v>
      </x:c>
    </x:row>
    <x:row r="1566" ht="15" hidden="0" customHeight="1">
      <x:c r="A1566" s="34" t="str">
        <x:v>STU0143</x:v>
      </x:c>
      <x:c r="B1566" s="35" t="str">
        <x:v>CSE1OOF - Assignment</x:v>
      </x:c>
      <x:c r="C1566" s="35" t="n">
        <x:v>66</x:v>
      </x:c>
      <x:c r="D1566"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566" s="36" t="str">
        <x:v>SILO2: abstract data types and encapsulation to localise and minimise change; SILO3: code sharing and reuse through object-oriented techniques to reduce development time; SILO4: object-oriented design and implementation of computer programs for real-life problems</x:v>
      </x:c>
      <x:c r="F1566" s="35" t="n">
        <x:v>0.25</x:v>
      </x:c>
      <x:c r="G1566" s="37" t="n">
        <x:f>C1566*F1566</x:f>
        <x:v>16.5</x:v>
      </x:c>
    </x:row>
    <x:row r="1567" ht="15" hidden="0" customHeight="1">
      <x:c r="A1567" s="34" t="str">
        <x:v>STU0143</x:v>
      </x:c>
      <x:c r="B1567" s="35" t="str">
        <x:v>CSE1OOF - Central examination</x:v>
      </x:c>
      <x:c r="C1567" s="35" t="n">
        <x:v>66</x:v>
      </x:c>
      <x:c r="D1567"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1567"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567" s="35" t="n">
        <x:v>0.4</x:v>
      </x:c>
      <x:c r="G1567" s="37" t="n">
        <x:f>C1567*F1567</x:f>
        <x:v>26.400000000000002</x:v>
      </x:c>
    </x:row>
    <x:row r="1568" ht="15" hidden="0" customHeight="1">
      <x:c r="A1568" s="34" t="str">
        <x:v>STU0143</x:v>
      </x:c>
      <x:c r="B1568" s="35" t="str">
        <x:v>CSE2ALG - Test</x:v>
      </x:c>
      <x:c r="C1568" s="35" t="n">
        <x:v>67</x:v>
      </x:c>
      <x:c r="D1568"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1568" s="36" t="str">
        <x:v>SILO1: overall objectives of Algorithms and Data Structures; SILO2: identifying data structures and searching and sorting algorithms in computing contexts; SILO3: implementing data structures and searching and sorting algorithms in Java</x:v>
      </x:c>
      <x:c r="F1568" s="35" t="n">
        <x:v>0.2</x:v>
      </x:c>
      <x:c r="G1568" s="37" t="n">
        <x:f>C1568*F1568</x:f>
        <x:v>13.4</x:v>
      </x:c>
    </x:row>
    <x:row r="1569" ht="15" hidden="0" customHeight="1">
      <x:c r="A1569" s="34" t="str">
        <x:v>STU0143</x:v>
      </x:c>
      <x:c r="B1569" s="35" t="str">
        <x:v>CSE2ALG - Assignment</x:v>
      </x:c>
      <x:c r="C1569" s="35" t="n">
        <x:v>70</x:v>
      </x:c>
      <x:c r="D1569" s="36" t="str">
        <x:v>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x:v>
      </x:c>
      <x:c r="E1569"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569" s="35" t="n">
        <x:v>0.3</x:v>
      </x:c>
      <x:c r="G1569" s="37" t="n">
        <x:f>C1569*F1569</x:f>
        <x:v>21</x:v>
      </x:c>
    </x:row>
    <x:row r="1570" ht="15" hidden="0" customHeight="1">
      <x:c r="A1570" s="34" t="str">
        <x:v>STU0143</x:v>
      </x:c>
      <x:c r="B1570" s="35" t="str">
        <x:v>CSE2ALG - Central examination</x:v>
      </x:c>
      <x:c r="C1570" s="35" t="n">
        <x:v>66</x:v>
      </x:c>
      <x:c r="D1570"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1570"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570" s="35" t="n">
        <x:v>0.5</x:v>
      </x:c>
      <x:c r="G1570" s="37" t="n">
        <x:f>C1570*F1570</x:f>
        <x:v>33</x:v>
      </x:c>
    </x:row>
    <x:row r="1571" ht="15" hidden="0" customHeight="1">
      <x:c r="A1571" s="34" t="str">
        <x:v>STU0143</x:v>
      </x:c>
      <x:c r="B1571" s="35" t="str">
        <x:v>CSE3CAP - Oral presentation: Project Milestone Presentation</x:v>
      </x:c>
      <x:c r="C1571" s="35" t="n">
        <x:v>69</x:v>
      </x:c>
      <x:c r="D1571"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1571" s="36" t="str">
        <x:v>SILO3: reporting project outcomes to technical and non-technical audiences and reflecting on feedback</x:v>
      </x:c>
      <x:c r="F1571" s="35" t="n">
        <x:v>0.1</x:v>
      </x:c>
      <x:c r="G1571" s="37" t="n">
        <x:f>C1571*F1571</x:f>
        <x:v>6.9</x:v>
      </x:c>
    </x:row>
    <x:row r="1572" ht="15" hidden="0" customHeight="1">
      <x:c r="A1572" s="34" t="str">
        <x:v>STU0143</x:v>
      </x:c>
      <x:c r="B1572" s="35" t="str">
        <x:v>CSE3CAP - Oral presentation: Final Project Presentation</x:v>
      </x:c>
      <x:c r="C1572" s="35" t="n">
        <x:v>69</x:v>
      </x:c>
      <x:c r="D1572"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1572" s="36" t="str">
        <x:v>SILO3: reporting project outcomes to technical and non-technical audiences and reflecting on feedback</x:v>
      </x:c>
      <x:c r="F1572" s="35" t="n">
        <x:v>0.2</x:v>
      </x:c>
      <x:c r="G1572" s="37" t="n">
        <x:f>C1572*F1572</x:f>
        <x:v>13.8</x:v>
      </x:c>
    </x:row>
    <x:row r="1573" ht="15" hidden="0" customHeight="1">
      <x:c r="A1573" s="34" t="str">
        <x:v>STU0143</x:v>
      </x:c>
      <x:c r="B1573" s="35" t="str">
        <x:v>CSE3CAP - Assignment: Final written Project Report</x:v>
      </x:c>
      <x:c r="C1573" s="35" t="n">
        <x:v>75</x:v>
      </x:c>
      <x:c r="D1573" s="36" t="str">
        <x:v>This strong result shows well-developed understanding of the relevant learning themes, particularly industry standard technical solutions in software or cybersecurity practice and professional system documentation and advanced technical reporting to industry standards. Further improvement would come from deeper justification, more consistent evaluation evidence and tighter links between decisions and implementation details.</x:v>
      </x:c>
      <x:c r="E1573" s="36" t="str">
        <x:v>SILO2: industry standard technical solutions in software or cybersecurity practice; SILO4: professional system documentation and advanced technical reporting to industry standards</x:v>
      </x:c>
      <x:c r="F1573" s="35" t="n">
        <x:v>0.35</x:v>
      </x:c>
      <x:c r="G1573" s="37" t="n">
        <x:f>C1573*F1573</x:f>
        <x:v>26.25</x:v>
      </x:c>
    </x:row>
    <x:row r="1574" ht="15" hidden="0" customHeight="1">
      <x:c r="A1574" s="34" t="str">
        <x:v>STU0143</x:v>
      </x:c>
      <x:c r="B1574" s="35" t="str">
        <x:v>CSE3CAP - Assignment: Sprint Project management reports</x:v>
      </x:c>
      <x:c r="C1574" s="35" t="n">
        <x:v>74</x:v>
      </x:c>
      <x:c r="D1574" s="36" t="str">
        <x:v>This sound result shows a competent and generally reliable grasp of the relevant learning themes, particularly advanced project management during substantive development implementation and industry standard technical solutions in software or cybersecurity practice. To strengthen the result, the student should provide clearer reasoning, improve technical precision and show more complete testing or reflection.</x:v>
      </x:c>
      <x:c r="E1574" s="36" t="str">
        <x:v>SILO1: advanced project management during substantive development implementation; SILO2: industry standard technical solutions in software or cybersecurity practice</x:v>
      </x:c>
      <x:c r="F1574" s="35" t="n">
        <x:v>0.35</x:v>
      </x:c>
      <x:c r="G1574" s="37" t="n">
        <x:f>C1574*F1574</x:f>
        <x:v>25.9</x:v>
      </x:c>
    </x:row>
    <x:row r="1575" ht="15" hidden="0" customHeight="1">
      <x:c r="A1575" s="34" t="str">
        <x:v>STU0144</x:v>
      </x:c>
      <x:c r="B1575" s="35" t="str">
        <x:v>CSE1OOF - Test</x:v>
      </x:c>
      <x:c r="C1575" s="35" t="n">
        <x:v>75</x:v>
      </x:c>
      <x:c r="D1575" s="36" t="str">
        <x:v>This strong result shows well-developed understanding of the relevant learning themes, particularly analysis/design/implementation compared with object-oriented modelling using objects that combine data structure and behaviour and abstract data types and encapsulation to localise and minimise change. Further improvement would come from deeper justification, more consistent evaluation evidence and tighter links between decisions and implementation details.</x:v>
      </x:c>
      <x:c r="E1575" s="36" t="str">
        <x:v>SILO1: analysis/design/implementation compared with object-oriented modelling using objects that combine data structure and behaviour; SILO2: abstract data types and encapsulation to localise and minimise change</x:v>
      </x:c>
      <x:c r="F1575" s="35" t="n">
        <x:v>0.15</x:v>
      </x:c>
      <x:c r="G1575" s="37" t="n">
        <x:f>C1575*F1575</x:f>
        <x:v>11.25</x:v>
      </x:c>
    </x:row>
    <x:row r="1576" ht="15" hidden="0" customHeight="1">
      <x:c r="A1576" s="34" t="str">
        <x:v>STU0144</x:v>
      </x:c>
      <x:c r="B1576" s="35" t="str">
        <x:v>CSE1OOF - Practical demonstration</x:v>
      </x:c>
      <x:c r="C1576" s="35" t="n">
        <x:v>75</x:v>
      </x:c>
      <x:c r="D1576"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1576" s="36" t="str">
        <x:v>SILO2: abstract data types and encapsulation to localise and minimise change; SILO3: code sharing and reuse through object-oriented techniques to reduce development time; SILO4: object-oriented design and implementation of computer programs for real-life problems</x:v>
      </x:c>
      <x:c r="F1576" s="35" t="n">
        <x:v>0.2</x:v>
      </x:c>
      <x:c r="G1576" s="37" t="n">
        <x:f>C1576*F1576</x:f>
        <x:v>15</x:v>
      </x:c>
    </x:row>
    <x:row r="1577" ht="15" hidden="0" customHeight="1">
      <x:c r="A1577" s="34" t="str">
        <x:v>STU0144</x:v>
      </x:c>
      <x:c r="B1577" s="35" t="str">
        <x:v>CSE1OOF - Assignment</x:v>
      </x:c>
      <x:c r="C1577" s="35" t="n">
        <x:v>73</x:v>
      </x:c>
      <x:c r="D1577"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577" s="36" t="str">
        <x:v>SILO2: abstract data types and encapsulation to localise and minimise change; SILO3: code sharing and reuse through object-oriented techniques to reduce development time; SILO4: object-oriented design and implementation of computer programs for real-life problems</x:v>
      </x:c>
      <x:c r="F1577" s="35" t="n">
        <x:v>0.25</x:v>
      </x:c>
      <x:c r="G1577" s="37" t="n">
        <x:f>C1577*F1577</x:f>
        <x:v>18.25</x:v>
      </x:c>
    </x:row>
    <x:row r="1578" ht="15" hidden="0" customHeight="1">
      <x:c r="A1578" s="34" t="str">
        <x:v>STU0144</x:v>
      </x:c>
      <x:c r="B1578" s="35" t="str">
        <x:v>CSE1OOF - Central examination</x:v>
      </x:c>
      <x:c r="C1578" s="35" t="n">
        <x:v>73</x:v>
      </x:c>
      <x:c r="D1578"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1578"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578" s="35" t="n">
        <x:v>0.4</x:v>
      </x:c>
      <x:c r="G1578" s="37" t="n">
        <x:f>C1578*F1578</x:f>
        <x:v>29.200000000000003</x:v>
      </x:c>
    </x:row>
    <x:row r="1579" ht="15" hidden="0" customHeight="1">
      <x:c r="A1579" s="34" t="str">
        <x:v>STU0144</x:v>
      </x:c>
      <x:c r="B1579" s="35" t="str">
        <x:v>CSE2ALG - Test</x:v>
      </x:c>
      <x:c r="C1579" s="35" t="n">
        <x:v>73</x:v>
      </x:c>
      <x:c r="D1579"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1579" s="36" t="str">
        <x:v>SILO1: overall objectives of Algorithms and Data Structures; SILO2: identifying data structures and searching and sorting algorithms in computing contexts; SILO3: implementing data structures and searching and sorting algorithms in Java</x:v>
      </x:c>
      <x:c r="F1579" s="35" t="n">
        <x:v>0.2</x:v>
      </x:c>
      <x:c r="G1579" s="37" t="n">
        <x:f>C1579*F1579</x:f>
        <x:v>14.600000000000001</x:v>
      </x:c>
    </x:row>
    <x:row r="1580" ht="15" hidden="0" customHeight="1">
      <x:c r="A1580" s="34" t="str">
        <x:v>STU0144</x:v>
      </x:c>
      <x:c r="B1580" s="35" t="str">
        <x:v>CSE2ALG - Assignment</x:v>
      </x:c>
      <x:c r="C1580" s="35" t="n">
        <x:v>79</x:v>
      </x:c>
      <x:c r="D1580" s="36" t="str">
        <x:v>This strong result shows well-developed understanding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Further improvement would come from deeper justification, more consistent evaluation evidence and tighter links between decisions and implementation details.</x:v>
      </x:c>
      <x:c r="E1580"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580" s="35" t="n">
        <x:v>0.3</x:v>
      </x:c>
      <x:c r="G1580" s="37" t="n">
        <x:f>C1580*F1580</x:f>
        <x:v>23.7</x:v>
      </x:c>
    </x:row>
    <x:row r="1581" ht="15" hidden="0" customHeight="1">
      <x:c r="A1581" s="34" t="str">
        <x:v>STU0144</x:v>
      </x:c>
      <x:c r="B1581" s="35" t="str">
        <x:v>CSE2ALG - Central examination</x:v>
      </x:c>
      <x:c r="C1581" s="35" t="n">
        <x:v>73</x:v>
      </x:c>
      <x:c r="D1581"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1581"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581" s="35" t="n">
        <x:v>0.5</x:v>
      </x:c>
      <x:c r="G1581" s="37" t="n">
        <x:f>C1581*F1581</x:f>
        <x:v>36.5</x:v>
      </x:c>
    </x:row>
    <x:row r="1582" ht="15" hidden="0" customHeight="1">
      <x:c r="A1582" s="34" t="str">
        <x:v>STU0144</x:v>
      </x:c>
      <x:c r="B1582" s="35" t="str">
        <x:v>CSE3CAP - Oral presentation: Project Milestone Presentation</x:v>
      </x:c>
      <x:c r="C1582" s="35" t="n">
        <x:v>74</x:v>
      </x:c>
      <x:c r="D1582"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1582" s="36" t="str">
        <x:v>SILO3: reporting project outcomes to technical and non-technical audiences and reflecting on feedback</x:v>
      </x:c>
      <x:c r="F1582" s="35" t="n">
        <x:v>0.1</x:v>
      </x:c>
      <x:c r="G1582" s="37" t="n">
        <x:f>C1582*F1582</x:f>
        <x:v>7.4</x:v>
      </x:c>
    </x:row>
    <x:row r="1583" ht="15" hidden="0" customHeight="1">
      <x:c r="A1583" s="34" t="str">
        <x:v>STU0144</x:v>
      </x:c>
      <x:c r="B1583" s="35" t="str">
        <x:v>CSE3CAP - Oral presentation: Final Project Presentation</x:v>
      </x:c>
      <x:c r="C1583" s="35" t="n">
        <x:v>75</x:v>
      </x:c>
      <x:c r="D1583"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1583" s="36" t="str">
        <x:v>SILO3: reporting project outcomes to technical and non-technical audiences and reflecting on feedback</x:v>
      </x:c>
      <x:c r="F1583" s="35" t="n">
        <x:v>0.2</x:v>
      </x:c>
      <x:c r="G1583" s="37" t="n">
        <x:f>C1583*F1583</x:f>
        <x:v>15</x:v>
      </x:c>
    </x:row>
    <x:row r="1584" ht="15" hidden="0" customHeight="1">
      <x:c r="A1584" s="34" t="str">
        <x:v>STU0144</x:v>
      </x:c>
      <x:c r="B1584" s="35" t="str">
        <x:v>CSE3CAP - Assignment: Final written Project Report</x:v>
      </x:c>
      <x:c r="C1584" s="35" t="n">
        <x:v>78</x:v>
      </x:c>
      <x:c r="D1584" s="36" t="str">
        <x:v>This strong result shows well-developed understanding of the relevant learning themes, particularly industry standard technical solutions in software or cybersecurity practice and professional system documentation and advanced technical reporting to industry standards. Further improvement would come from deeper justification, more consistent evaluation evidence and tighter links between decisions and implementation details.</x:v>
      </x:c>
      <x:c r="E1584" s="36" t="str">
        <x:v>SILO2: industry standard technical solutions in software or cybersecurity practice; SILO4: professional system documentation and advanced technical reporting to industry standards</x:v>
      </x:c>
      <x:c r="F1584" s="35" t="n">
        <x:v>0.35</x:v>
      </x:c>
      <x:c r="G1584" s="37" t="n">
        <x:f>C1584*F1584</x:f>
        <x:v>27.299999999999997</x:v>
      </x:c>
    </x:row>
    <x:row r="1585" ht="15" hidden="0" customHeight="1">
      <x:c r="A1585" s="34" t="str">
        <x:v>STU0144</x:v>
      </x:c>
      <x:c r="B1585" s="35" t="str">
        <x:v>CSE3CAP - Assignment: Sprint Project management reports</x:v>
      </x:c>
      <x:c r="C1585" s="35" t="n">
        <x:v>78</x:v>
      </x:c>
      <x:c r="D1585" s="36" t="str">
        <x:v>This strong result shows well-developed understanding of the relevant learning themes, particularly advanced project management during substantive development implementation and industry standard technical solutions in software or cybersecurity practice. Further improvement would come from deeper justification, more consistent evaluation evidence and tighter links between decisions and implementation details.</x:v>
      </x:c>
      <x:c r="E1585" s="36" t="str">
        <x:v>SILO1: advanced project management during substantive development implementation; SILO2: industry standard technical solutions in software or cybersecurity practice</x:v>
      </x:c>
      <x:c r="F1585" s="35" t="n">
        <x:v>0.35</x:v>
      </x:c>
      <x:c r="G1585" s="37" t="n">
        <x:f>C1585*F1585</x:f>
        <x:v>27.299999999999997</x:v>
      </x:c>
    </x:row>
    <x:row r="1586" ht="15" hidden="0" customHeight="1">
      <x:c r="A1586" s="34" t="str">
        <x:v>STU0145</x:v>
      </x:c>
      <x:c r="B1586" s="35" t="str">
        <x:v>CSE1OOF - Test</x:v>
      </x:c>
      <x:c r="C1586" s="35" t="n">
        <x:v>65</x:v>
      </x:c>
      <x:c r="D1586"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1586" s="36" t="str">
        <x:v>SILO1: analysis/design/implementation compared with object-oriented modelling using objects that combine data structure and behaviour; SILO2: abstract data types and encapsulation to localise and minimise change</x:v>
      </x:c>
      <x:c r="F1586" s="35" t="n">
        <x:v>0.15</x:v>
      </x:c>
      <x:c r="G1586" s="37" t="n">
        <x:f>C1586*F1586</x:f>
        <x:v>9.75</x:v>
      </x:c>
    </x:row>
    <x:row r="1587" ht="15" hidden="0" customHeight="1">
      <x:c r="A1587" s="34" t="str">
        <x:v>STU0145</x:v>
      </x:c>
      <x:c r="B1587" s="35" t="str">
        <x:v>CSE1OOF - Practical demonstration</x:v>
      </x:c>
      <x:c r="C1587" s="35" t="n">
        <x:v>66</x:v>
      </x:c>
      <x:c r="D1587" s="36" t="str">
        <x:v>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x:v>
      </x:c>
      <x:c r="E1587" s="36" t="str">
        <x:v>SILO2: abstract data types and encapsulation to localise and minimise change; SILO3: code sharing and reuse through object-oriented techniques to reduce development time; SILO4: object-oriented design and implementation of computer programs for real-life problems</x:v>
      </x:c>
      <x:c r="F1587" s="35" t="n">
        <x:v>0.2</x:v>
      </x:c>
      <x:c r="G1587" s="37" t="n">
        <x:f>C1587*F1587</x:f>
        <x:v>13.200000000000001</x:v>
      </x:c>
    </x:row>
    <x:row r="1588" ht="15" hidden="0" customHeight="1">
      <x:c r="A1588" s="34" t="str">
        <x:v>STU0145</x:v>
      </x:c>
      <x:c r="B1588" s="35" t="str">
        <x:v>CSE1OOF - Assignment</x:v>
      </x:c>
      <x:c r="C1588" s="35" t="n">
        <x:v>63</x:v>
      </x:c>
      <x:c r="D1588"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588" s="36" t="str">
        <x:v>SILO2: abstract data types and encapsulation to localise and minimise change; SILO3: code sharing and reuse through object-oriented techniques to reduce development time; SILO4: object-oriented design and implementation of computer programs for real-life problems</x:v>
      </x:c>
      <x:c r="F1588" s="35" t="n">
        <x:v>0.25</x:v>
      </x:c>
      <x:c r="G1588" s="37" t="n">
        <x:f>C1588*F1588</x:f>
        <x:v>15.75</x:v>
      </x:c>
    </x:row>
    <x:row r="1589" ht="15" hidden="0" customHeight="1">
      <x:c r="A1589" s="34" t="str">
        <x:v>STU0145</x:v>
      </x:c>
      <x:c r="B1589" s="35" t="str">
        <x:v>CSE1OOF - Central examination</x:v>
      </x:c>
      <x:c r="C1589" s="35" t="n">
        <x:v>68</x:v>
      </x:c>
      <x:c r="D1589"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1589"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589" s="35" t="n">
        <x:v>0.4</x:v>
      </x:c>
      <x:c r="G1589" s="37" t="n">
        <x:f>C1589*F1589</x:f>
        <x:v>27.200000000000003</x:v>
      </x:c>
    </x:row>
    <x:row r="1590" ht="15" hidden="0" customHeight="1">
      <x:c r="A1590" s="34" t="str">
        <x:v>STU0145</x:v>
      </x:c>
      <x:c r="B1590" s="35" t="str">
        <x:v>CSE2ALG - Test</x:v>
      </x:c>
      <x:c r="C1590" s="35" t="n">
        <x:v>70</x:v>
      </x:c>
      <x:c r="D1590"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1590" s="36" t="str">
        <x:v>SILO1: overall objectives of Algorithms and Data Structures; SILO2: identifying data structures and searching and sorting algorithms in computing contexts; SILO3: implementing data structures and searching and sorting algorithms in Java</x:v>
      </x:c>
      <x:c r="F1590" s="35" t="n">
        <x:v>0.2</x:v>
      </x:c>
      <x:c r="G1590" s="37" t="n">
        <x:f>C1590*F1590</x:f>
        <x:v>14</x:v>
      </x:c>
    </x:row>
    <x:row r="1591" ht="15" hidden="0" customHeight="1">
      <x:c r="A1591" s="34" t="str">
        <x:v>STU0145</x:v>
      </x:c>
      <x:c r="B1591" s="35" t="str">
        <x:v>CSE2ALG - Assignment</x:v>
      </x:c>
      <x:c r="C1591" s="35" t="n">
        <x:v>71</x:v>
      </x:c>
      <x:c r="D1591" s="36" t="str">
        <x:v>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x:v>
      </x:c>
      <x:c r="E1591"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591" s="35" t="n">
        <x:v>0.3</x:v>
      </x:c>
      <x:c r="G1591" s="37" t="n">
        <x:f>C1591*F1591</x:f>
        <x:v>21.3</x:v>
      </x:c>
    </x:row>
    <x:row r="1592" ht="15" hidden="0" customHeight="1">
      <x:c r="A1592" s="34" t="str">
        <x:v>STU0145</x:v>
      </x:c>
      <x:c r="B1592" s="35" t="str">
        <x:v>CSE2ALG - Central examination</x:v>
      </x:c>
      <x:c r="C1592" s="35" t="n">
        <x:v>72</x:v>
      </x:c>
      <x:c r="D1592"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1592"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592" s="35" t="n">
        <x:v>0.5</x:v>
      </x:c>
      <x:c r="G1592" s="37" t="n">
        <x:f>C1592*F1592</x:f>
        <x:v>36</x:v>
      </x:c>
    </x:row>
    <x:row r="1593" ht="15" hidden="0" customHeight="1">
      <x:c r="A1593" s="34" t="str">
        <x:v>STU0145</x:v>
      </x:c>
      <x:c r="B1593" s="35" t="str">
        <x:v>CSE3CAP - Oral presentation: Project Milestone Presentation</x:v>
      </x:c>
      <x:c r="C1593" s="35" t="n">
        <x:v>60</x:v>
      </x:c>
      <x:c r="D1593"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593" s="36" t="str">
        <x:v>SILO3: reporting project outcomes to technical and non-technical audiences and reflecting on feedback</x:v>
      </x:c>
      <x:c r="F1593" s="35" t="n">
        <x:v>0.1</x:v>
      </x:c>
      <x:c r="G1593" s="37" t="n">
        <x:f>C1593*F1593</x:f>
        <x:v>6</x:v>
      </x:c>
    </x:row>
    <x:row r="1594" ht="15" hidden="0" customHeight="1">
      <x:c r="A1594" s="34" t="str">
        <x:v>STU0145</x:v>
      </x:c>
      <x:c r="B1594" s="35" t="str">
        <x:v>CSE3CAP - Oral presentation: Final Project Presentation</x:v>
      </x:c>
      <x:c r="C1594" s="35" t="n">
        <x:v>60</x:v>
      </x:c>
      <x:c r="D1594" s="36" t="str">
        <x:v>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x:v>
      </x:c>
      <x:c r="E1594" s="36" t="str">
        <x:v>SILO3: reporting project outcomes to technical and non-technical audiences and reflecting on feedback</x:v>
      </x:c>
      <x:c r="F1594" s="35" t="n">
        <x:v>0.2</x:v>
      </x:c>
      <x:c r="G1594" s="37" t="n">
        <x:f>C1594*F1594</x:f>
        <x:v>12</x:v>
      </x:c>
    </x:row>
    <x:row r="1595" ht="15" hidden="0" customHeight="1">
      <x:c r="A1595" s="34" t="str">
        <x:v>STU0145</x:v>
      </x:c>
      <x:c r="B1595" s="35" t="str">
        <x:v>CSE3CAP - Assignment: Final written Project Report</x:v>
      </x:c>
      <x:c r="C1595" s="35" t="n">
        <x:v>62</x:v>
      </x:c>
      <x:c r="D1595" s="36" t="str">
        <x:v>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x:v>
      </x:c>
      <x:c r="E1595" s="36" t="str">
        <x:v>SILO2: industry standard technical solutions in software or cybersecurity practice; SILO4: professional system documentation and advanced technical reporting to industry standards</x:v>
      </x:c>
      <x:c r="F1595" s="35" t="n">
        <x:v>0.35</x:v>
      </x:c>
      <x:c r="G1595" s="37" t="n">
        <x:f>C1595*F1595</x:f>
        <x:v>21.7</x:v>
      </x:c>
    </x:row>
    <x:row r="1596" ht="15" hidden="0" customHeight="1">
      <x:c r="A1596" s="34" t="str">
        <x:v>STU0145</x:v>
      </x:c>
      <x:c r="B1596" s="35" t="str">
        <x:v>CSE3CAP - Assignment: Sprint Project management reports</x:v>
      </x:c>
      <x:c r="C1596" s="35" t="n">
        <x:v>64</x:v>
      </x:c>
      <x:c r="D1596"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1596" s="36" t="str">
        <x:v>SILO1: advanced project management during substantive development implementation; SILO2: industry standard technical solutions in software or cybersecurity practice</x:v>
      </x:c>
      <x:c r="F1596" s="35" t="n">
        <x:v>0.35</x:v>
      </x:c>
      <x:c r="G1596" s="37" t="n">
        <x:f>C1596*F1596</x:f>
        <x:v>22.4</x:v>
      </x:c>
    </x:row>
    <x:row r="1597" ht="15" hidden="0" customHeight="1">
      <x:c r="A1597" s="34" t="str">
        <x:v>STU0146</x:v>
      </x:c>
      <x:c r="B1597" s="35" t="str">
        <x:v>CSE1OOF - Test</x:v>
      </x:c>
      <x:c r="C1597" s="35" t="n">
        <x:v>87</x:v>
      </x:c>
      <x:c r="D1597" s="36" t="str">
        <x:v>This excellent result demonstrates confident and independent command of the relevant learning themes, particularly analysis/design/implementation compared with object-oriented modelling using objects that combine data structure and behaviour and abstract data types and encapsulation to localise and minimise change. The work is clear, accurate and well justified, with only minor opportunities to further polish explanation or evaluation.</x:v>
      </x:c>
      <x:c r="E1597" s="36" t="str">
        <x:v>SILO1: analysis/design/implementation compared with object-oriented modelling using objects that combine data structure and behaviour; SILO2: abstract data types and encapsulation to localise and minimise change</x:v>
      </x:c>
      <x:c r="F1597" s="35" t="n">
        <x:v>0.15</x:v>
      </x:c>
      <x:c r="G1597" s="37" t="n">
        <x:f>C1597*F1597</x:f>
        <x:v>13.049999999999999</x:v>
      </x:c>
    </x:row>
    <x:row r="1598" ht="15" hidden="0" customHeight="1">
      <x:c r="A1598" s="34" t="str">
        <x:v>STU0146</x:v>
      </x:c>
      <x:c r="B1598" s="35" t="str">
        <x:v>CSE1OOF - Practical demonstration</x:v>
      </x:c>
      <x:c r="C1598" s="35" t="n">
        <x:v>93</x:v>
      </x:c>
      <x:c r="D1598" s="36" t="str">
        <x:v>This excellent result demonstrates confident and independent command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work is clear, accurate and well justified, with only minor opportunities to further polish explanation or evaluation.</x:v>
      </x:c>
      <x:c r="E1598" s="36" t="str">
        <x:v>SILO2: abstract data types and encapsulation to localise and minimise change; SILO3: code sharing and reuse through object-oriented techniques to reduce development time; SILO4: object-oriented design and implementation of computer programs for real-life problems</x:v>
      </x:c>
      <x:c r="F1598" s="35" t="n">
        <x:v>0.2</x:v>
      </x:c>
      <x:c r="G1598" s="37" t="n">
        <x:f>C1598*F1598</x:f>
        <x:v>18.6</x:v>
      </x:c>
    </x:row>
    <x:row r="1599" ht="15" hidden="0" customHeight="1">
      <x:c r="A1599" s="34" t="str">
        <x:v>STU0146</x:v>
      </x:c>
      <x:c r="B1599" s="35" t="str">
        <x:v>CSE1OOF - Assignment</x:v>
      </x:c>
      <x:c r="C1599" s="35" t="n">
        <x:v>89</x:v>
      </x:c>
      <x:c r="D1599" s="36" t="str">
        <x:v>This excellent result demonstrates confident and independent command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work is clear, accurate and well justified, with only minor opportunities to further polish explanation or evaluation.</x:v>
      </x:c>
      <x:c r="E1599" s="36" t="str">
        <x:v>SILO2: abstract data types and encapsulation to localise and minimise change; SILO3: code sharing and reuse through object-oriented techniques to reduce development time; SILO4: object-oriented design and implementation of computer programs for real-life problems</x:v>
      </x:c>
      <x:c r="F1599" s="35" t="n">
        <x:v>0.25</x:v>
      </x:c>
      <x:c r="G1599" s="37" t="n">
        <x:f>C1599*F1599</x:f>
        <x:v>22.25</x:v>
      </x:c>
    </x:row>
    <x:row r="1600" ht="15" hidden="0" customHeight="1">
      <x:c r="A1600" s="34" t="str">
        <x:v>STU0146</x:v>
      </x:c>
      <x:c r="B1600" s="35" t="str">
        <x:v>CSE1OOF - Central examination</x:v>
      </x:c>
      <x:c r="C1600" s="35" t="n">
        <x:v>90</x:v>
      </x:c>
      <x:c r="D1600" s="36" t="str">
        <x:v>This excellent result demonstrates confident and independent command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The work is clear, accurate and well justified, with only minor opportunities to further polish explanation or evaluation.</x:v>
      </x:c>
      <x:c r="E1600"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600" s="35" t="n">
        <x:v>0.4</x:v>
      </x:c>
      <x:c r="G1600" s="37" t="n">
        <x:f>C1600*F1600</x:f>
        <x:v>36</x:v>
      </x:c>
    </x:row>
    <x:row r="1601" ht="15" hidden="0" customHeight="1">
      <x:c r="A1601" s="34" t="str">
        <x:v>STU0146</x:v>
      </x:c>
      <x:c r="B1601" s="35" t="str">
        <x:v>CSE2ALG - Test</x:v>
      </x:c>
      <x:c r="C1601" s="35" t="n">
        <x:v>93</x:v>
      </x:c>
      <x:c r="D1601" s="36" t="str">
        <x:v>This excellent result demonstrates confident and independent command of the relevant learning themes, particularly overall objectives of Algorithms and Data Structures, identifying data structures and searching and sorting algorithms in computing contexts, and implementing data structures and searching and sorting algorithms in Java. The work is clear, accurate and well justified, with only minor opportunities to further polish explanation or evaluation.</x:v>
      </x:c>
      <x:c r="E1601" s="36" t="str">
        <x:v>SILO1: overall objectives of Algorithms and Data Structures; SILO2: identifying data structures and searching and sorting algorithms in computing contexts; SILO3: implementing data structures and searching and sorting algorithms in Java</x:v>
      </x:c>
      <x:c r="F1601" s="35" t="n">
        <x:v>0.2</x:v>
      </x:c>
      <x:c r="G1601" s="37" t="n">
        <x:f>C1601*F1601</x:f>
        <x:v>18.6</x:v>
      </x:c>
    </x:row>
    <x:row r="1602" ht="15" hidden="0" customHeight="1">
      <x:c r="A1602" s="34" t="str">
        <x:v>STU0146</x:v>
      </x:c>
      <x:c r="B1602" s="35" t="str">
        <x:v>CSE2ALG - Assignment</x:v>
      </x:c>
      <x:c r="C1602" s="35" t="n">
        <x:v>95</x:v>
      </x:c>
      <x:c r="D1602" s="36" t="str">
        <x:v>This excellent result demonstrates confident and independent command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The work is clear, accurate and well justified, with only minor opportunities to further polish explanation or evaluation.</x:v>
      </x:c>
      <x:c r="E1602"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602" s="35" t="n">
        <x:v>0.3</x:v>
      </x:c>
      <x:c r="G1602" s="37" t="n">
        <x:f>C1602*F1602</x:f>
        <x:v>28.5</x:v>
      </x:c>
    </x:row>
    <x:row r="1603" ht="15" hidden="0" customHeight="1">
      <x:c r="A1603" s="34" t="str">
        <x:v>STU0146</x:v>
      </x:c>
      <x:c r="B1603" s="35" t="str">
        <x:v>CSE2ALG - Central examination</x:v>
      </x:c>
      <x:c r="C1603" s="35" t="n">
        <x:v>94</x:v>
      </x:c>
      <x:c r="D1603" s="36" t="str">
        <x:v>This excellent result demonstrates confident and independent command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The work is clear, accurate and well justified, with only minor opportunities to further polish explanation or evaluation.</x:v>
      </x:c>
      <x:c r="E1603"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603" s="35" t="n">
        <x:v>0.5</x:v>
      </x:c>
      <x:c r="G1603" s="37" t="n">
        <x:f>C1603*F1603</x:f>
        <x:v>47</x:v>
      </x:c>
    </x:row>
    <x:row r="1604" ht="15" hidden="0" customHeight="1">
      <x:c r="A1604" s="34" t="str">
        <x:v>STU0146</x:v>
      </x:c>
      <x:c r="B1604" s="35" t="str">
        <x:v>CSE3CAP - Oral presentation: Project Milestone Presentation</x:v>
      </x:c>
      <x:c r="C1604" s="35" t="n">
        <x:v>94</x:v>
      </x:c>
      <x:c r="D1604" s="36" t="str">
        <x:v>This excellent result demonstrates confident and independent command of the relevant learning themes, particularly reporting project outcomes to technical and non-technical audiences and reflecting on feedback. The work is clear, accurate and well justified, with only minor opportunities to further polish explanation or evaluation.</x:v>
      </x:c>
      <x:c r="E1604" s="36" t="str">
        <x:v>SILO3: reporting project outcomes to technical and non-technical audiences and reflecting on feedback</x:v>
      </x:c>
      <x:c r="F1604" s="35" t="n">
        <x:v>0.1</x:v>
      </x:c>
      <x:c r="G1604" s="37" t="n">
        <x:f>C1604*F1604</x:f>
        <x:v>9.4</x:v>
      </x:c>
    </x:row>
    <x:row r="1605" ht="15" hidden="0" customHeight="1">
      <x:c r="A1605" s="34" t="str">
        <x:v>STU0146</x:v>
      </x:c>
      <x:c r="B1605" s="35" t="str">
        <x:v>CSE3CAP - Oral presentation: Final Project Presentation</x:v>
      </x:c>
      <x:c r="C1605" s="35" t="n">
        <x:v>91</x:v>
      </x:c>
      <x:c r="D1605" s="36" t="str">
        <x:v>This excellent result demonstrates confident and independent command of the relevant learning themes, particularly reporting project outcomes to technical and non-technical audiences and reflecting on feedback. The work is clear, accurate and well justified, with only minor opportunities to further polish explanation or evaluation.</x:v>
      </x:c>
      <x:c r="E1605" s="36" t="str">
        <x:v>SILO3: reporting project outcomes to technical and non-technical audiences and reflecting on feedback</x:v>
      </x:c>
      <x:c r="F1605" s="35" t="n">
        <x:v>0.2</x:v>
      </x:c>
      <x:c r="G1605" s="37" t="n">
        <x:f>C1605*F1605</x:f>
        <x:v>18.2</x:v>
      </x:c>
    </x:row>
    <x:row r="1606" ht="15" hidden="0" customHeight="1">
      <x:c r="A1606" s="34" t="str">
        <x:v>STU0146</x:v>
      </x:c>
      <x:c r="B1606" s="35" t="str">
        <x:v>CSE3CAP - Assignment: Final written Project Report</x:v>
      </x:c>
      <x:c r="C1606" s="35" t="n">
        <x:v>92</x:v>
      </x:c>
      <x:c r="D1606" s="36" t="str">
        <x:v>This excellent result demonstrates confident and independent command of the relevant learning themes, particularly industry standard technical solutions in software or cybersecurity practice and professional system documentation and advanced technical reporting to industry standards. The work is clear, accurate and well justified, with only minor opportunities to further polish explanation or evaluation.</x:v>
      </x:c>
      <x:c r="E1606" s="36" t="str">
        <x:v>SILO2: industry standard technical solutions in software or cybersecurity practice; SILO4: professional system documentation and advanced technical reporting to industry standards</x:v>
      </x:c>
      <x:c r="F1606" s="35" t="n">
        <x:v>0.35</x:v>
      </x:c>
      <x:c r="G1606" s="37" t="n">
        <x:f>C1606*F1606</x:f>
        <x:v>32.199999999999996</x:v>
      </x:c>
    </x:row>
    <x:row r="1607" ht="15" hidden="0" customHeight="1">
      <x:c r="A1607" s="34" t="str">
        <x:v>STU0146</x:v>
      </x:c>
      <x:c r="B1607" s="35" t="str">
        <x:v>CSE3CAP - Assignment: Sprint Project management reports</x:v>
      </x:c>
      <x:c r="C1607" s="35" t="n">
        <x:v>94</x:v>
      </x:c>
      <x:c r="D1607" s="36" t="str">
        <x:v>This excellent result demonstrates confident and independent command of the relevant learning themes, particularly advanced project management during substantive development implementation and industry standard technical solutions in software or cybersecurity practice. The work is clear, accurate and well justified, with only minor opportunities to further polish explanation or evaluation.</x:v>
      </x:c>
      <x:c r="E1607" s="36" t="str">
        <x:v>SILO1: advanced project management during substantive development implementation; SILO2: industry standard technical solutions in software or cybersecurity practice</x:v>
      </x:c>
      <x:c r="F1607" s="35" t="n">
        <x:v>0.35</x:v>
      </x:c>
      <x:c r="G1607" s="37" t="n">
        <x:f>C1607*F1607</x:f>
        <x:v>32.9</x:v>
      </x:c>
    </x:row>
    <x:row r="1608" ht="15" hidden="0" customHeight="1">
      <x:c r="A1608" s="34" t="str">
        <x:v>STU0147</x:v>
      </x:c>
      <x:c r="B1608" s="35" t="str">
        <x:v>CSE1OOF - Test</x:v>
      </x:c>
      <x:c r="C1608" s="35" t="n">
        <x:v>81</x:v>
      </x:c>
      <x:c r="D1608" s="36" t="str">
        <x:v>This strong result shows well-developed understanding of the relevant learning themes, particularly analysis/design/implementation compared with object-oriented modelling using objects that combine data structure and behaviour and abstract data types and encapsulation to localise and minimise change. Further improvement would come from deeper justification, more consistent evaluation evidence and tighter links between decisions and implementation details.</x:v>
      </x:c>
      <x:c r="E1608" s="36" t="str">
        <x:v>SILO1: analysis/design/implementation compared with object-oriented modelling using objects that combine data structure and behaviour; SILO2: abstract data types and encapsulation to localise and minimise change</x:v>
      </x:c>
      <x:c r="F1608" s="35" t="n">
        <x:v>0.15</x:v>
      </x:c>
      <x:c r="G1608" s="37" t="n">
        <x:f>C1608*F1608</x:f>
        <x:v>12.15</x:v>
      </x:c>
    </x:row>
    <x:row r="1609" ht="15" hidden="0" customHeight="1">
      <x:c r="A1609" s="34" t="str">
        <x:v>STU0147</x:v>
      </x:c>
      <x:c r="B1609" s="35" t="str">
        <x:v>CSE1OOF - Practical demonstration</x:v>
      </x:c>
      <x:c r="C1609" s="35" t="n">
        <x:v>83</x:v>
      </x:c>
      <x:c r="D1609"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1609" s="36" t="str">
        <x:v>SILO2: abstract data types and encapsulation to localise and minimise change; SILO3: code sharing and reuse through object-oriented techniques to reduce development time; SILO4: object-oriented design and implementation of computer programs for real-life problems</x:v>
      </x:c>
      <x:c r="F1609" s="35" t="n">
        <x:v>0.2</x:v>
      </x:c>
      <x:c r="G1609" s="37" t="n">
        <x:f>C1609*F1609</x:f>
        <x:v>16.6</x:v>
      </x:c>
    </x:row>
    <x:row r="1610" ht="15" hidden="0" customHeight="1">
      <x:c r="A1610" s="34" t="str">
        <x:v>STU0147</x:v>
      </x:c>
      <x:c r="B1610" s="35" t="str">
        <x:v>CSE1OOF - Assignment</x:v>
      </x:c>
      <x:c r="C1610" s="35" t="n">
        <x:v>84</x:v>
      </x:c>
      <x:c r="D1610"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1610" s="36" t="str">
        <x:v>SILO2: abstract data types and encapsulation to localise and minimise change; SILO3: code sharing and reuse through object-oriented techniques to reduce development time; SILO4: object-oriented design and implementation of computer programs for real-life problems</x:v>
      </x:c>
      <x:c r="F1610" s="35" t="n">
        <x:v>0.25</x:v>
      </x:c>
      <x:c r="G1610" s="37" t="n">
        <x:f>C1610*F1610</x:f>
        <x:v>21</x:v>
      </x:c>
    </x:row>
    <x:row r="1611" ht="15" hidden="0" customHeight="1">
      <x:c r="A1611" s="34" t="str">
        <x:v>STU0147</x:v>
      </x:c>
      <x:c r="B1611" s="35" t="str">
        <x:v>CSE1OOF - Central examination</x:v>
      </x:c>
      <x:c r="C1611" s="35" t="n">
        <x:v>86</x:v>
      </x:c>
      <x:c r="D1611" s="36" t="str">
        <x:v>This excellent result demonstrates confident and independent command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The work is clear, accurate and well justified, with only minor opportunities to further polish explanation or evaluation.</x:v>
      </x:c>
      <x:c r="E1611"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611" s="35" t="n">
        <x:v>0.4</x:v>
      </x:c>
      <x:c r="G1611" s="37" t="n">
        <x:f>C1611*F1611</x:f>
        <x:v>34.4</x:v>
      </x:c>
    </x:row>
    <x:row r="1612" ht="15" hidden="0" customHeight="1">
      <x:c r="A1612" s="34" t="str">
        <x:v>STU0147</x:v>
      </x:c>
      <x:c r="B1612" s="35" t="str">
        <x:v>CSE2ALG - Test</x:v>
      </x:c>
      <x:c r="C1612" s="35" t="n">
        <x:v>87</x:v>
      </x:c>
      <x:c r="D1612" s="36" t="str">
        <x:v>This excellent result demonstrates confident and independent command of the relevant learning themes, particularly overall objectives of Algorithms and Data Structures, identifying data structures and searching and sorting algorithms in computing contexts, and implementing data structures and searching and sorting algorithms in Java. The work is clear, accurate and well justified, with only minor opportunities to further polish explanation or evaluation.</x:v>
      </x:c>
      <x:c r="E1612" s="36" t="str">
        <x:v>SILO1: overall objectives of Algorithms and Data Structures; SILO2: identifying data structures and searching and sorting algorithms in computing contexts; SILO3: implementing data structures and searching and sorting algorithms in Java</x:v>
      </x:c>
      <x:c r="F1612" s="35" t="n">
        <x:v>0.2</x:v>
      </x:c>
      <x:c r="G1612" s="37" t="n">
        <x:f>C1612*F1612</x:f>
        <x:v>17.400000000000002</x:v>
      </x:c>
    </x:row>
    <x:row r="1613" ht="15" hidden="0" customHeight="1">
      <x:c r="A1613" s="34" t="str">
        <x:v>STU0147</x:v>
      </x:c>
      <x:c r="B1613" s="35" t="str">
        <x:v>CSE2ALG - Assignment</x:v>
      </x:c>
      <x:c r="C1613" s="35" t="n">
        <x:v>85</x:v>
      </x:c>
      <x:c r="D1613" s="36" t="str">
        <x:v>This excellent result demonstrates confident and independent command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The work is clear, accurate and well justified, with only minor opportunities to further polish explanation or evaluation.</x:v>
      </x:c>
      <x:c r="E1613"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613" s="35" t="n">
        <x:v>0.3</x:v>
      </x:c>
      <x:c r="G1613" s="37" t="n">
        <x:f>C1613*F1613</x:f>
        <x:v>25.5</x:v>
      </x:c>
    </x:row>
    <x:row r="1614" ht="15" hidden="0" customHeight="1">
      <x:c r="A1614" s="34" t="str">
        <x:v>STU0147</x:v>
      </x:c>
      <x:c r="B1614" s="35" t="str">
        <x:v>CSE2ALG - Central examination</x:v>
      </x:c>
      <x:c r="C1614" s="35" t="n">
        <x:v>88</x:v>
      </x:c>
      <x:c r="D1614" s="36" t="str">
        <x:v>This excellent result demonstrates confident and independent command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The work is clear, accurate and well justified, with only minor opportunities to further polish explanation or evaluation.</x:v>
      </x:c>
      <x:c r="E1614"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614" s="35" t="n">
        <x:v>0.5</x:v>
      </x:c>
      <x:c r="G1614" s="37" t="n">
        <x:f>C1614*F1614</x:f>
        <x:v>44</x:v>
      </x:c>
    </x:row>
    <x:row r="1615" ht="15" hidden="0" customHeight="1">
      <x:c r="A1615" s="34" t="str">
        <x:v>STU0147</x:v>
      </x:c>
      <x:c r="B1615" s="35" t="str">
        <x:v>CSE3CAP - Oral presentation: Project Milestone Presentation</x:v>
      </x:c>
      <x:c r="C1615" s="35" t="n">
        <x:v>87</x:v>
      </x:c>
      <x:c r="D1615" s="36" t="str">
        <x:v>This excellent result demonstrates confident and independent command of the relevant learning themes, particularly reporting project outcomes to technical and non-technical audiences and reflecting on feedback. The work is clear, accurate and well justified, with only minor opportunities to further polish explanation or evaluation.</x:v>
      </x:c>
      <x:c r="E1615" s="36" t="str">
        <x:v>SILO3: reporting project outcomes to technical and non-technical audiences and reflecting on feedback</x:v>
      </x:c>
      <x:c r="F1615" s="35" t="n">
        <x:v>0.1</x:v>
      </x:c>
      <x:c r="G1615" s="37" t="n">
        <x:f>C1615*F1615</x:f>
        <x:v>8.700000000000001</x:v>
      </x:c>
    </x:row>
    <x:row r="1616" ht="15" hidden="0" customHeight="1">
      <x:c r="A1616" s="34" t="str">
        <x:v>STU0147</x:v>
      </x:c>
      <x:c r="B1616" s="35" t="str">
        <x:v>CSE3CAP - Oral presentation: Final Project Presentation</x:v>
      </x:c>
      <x:c r="C1616" s="35" t="n">
        <x:v>86</x:v>
      </x:c>
      <x:c r="D1616" s="36" t="str">
        <x:v>This excellent result demonstrates confident and independent command of the relevant learning themes, particularly reporting project outcomes to technical and non-technical audiences and reflecting on feedback. The work is clear, accurate and well justified, with only minor opportunities to further polish explanation or evaluation.</x:v>
      </x:c>
      <x:c r="E1616" s="36" t="str">
        <x:v>SILO3: reporting project outcomes to technical and non-technical audiences and reflecting on feedback</x:v>
      </x:c>
      <x:c r="F1616" s="35" t="n">
        <x:v>0.2</x:v>
      </x:c>
      <x:c r="G1616" s="37" t="n">
        <x:f>C1616*F1616</x:f>
        <x:v>17.2</x:v>
      </x:c>
    </x:row>
    <x:row r="1617" ht="15" hidden="0" customHeight="1">
      <x:c r="A1617" s="34" t="str">
        <x:v>STU0147</x:v>
      </x:c>
      <x:c r="B1617" s="35" t="str">
        <x:v>CSE3CAP - Assignment: Final written Project Report</x:v>
      </x:c>
      <x:c r="C1617" s="35" t="n">
        <x:v>84</x:v>
      </x:c>
      <x:c r="D1617" s="36" t="str">
        <x:v>This strong result shows well-developed understanding of the relevant learning themes, particularly industry standard technical solutions in software or cybersecurity practice and professional system documentation and advanced technical reporting to industry standards. Further improvement would come from deeper justification, more consistent evaluation evidence and tighter links between decisions and implementation details.</x:v>
      </x:c>
      <x:c r="E1617" s="36" t="str">
        <x:v>SILO2: industry standard technical solutions in software or cybersecurity practice; SILO4: professional system documentation and advanced technical reporting to industry standards</x:v>
      </x:c>
      <x:c r="F1617" s="35" t="n">
        <x:v>0.35</x:v>
      </x:c>
      <x:c r="G1617" s="37" t="n">
        <x:f>C1617*F1617</x:f>
        <x:v>29.4</x:v>
      </x:c>
    </x:row>
    <x:row r="1618" ht="15" hidden="0" customHeight="1">
      <x:c r="A1618" s="34" t="str">
        <x:v>STU0147</x:v>
      </x:c>
      <x:c r="B1618" s="35" t="str">
        <x:v>CSE3CAP - Assignment: Sprint Project management reports</x:v>
      </x:c>
      <x:c r="C1618" s="35" t="n">
        <x:v>81</x:v>
      </x:c>
      <x:c r="D1618" s="36" t="str">
        <x:v>This strong result shows well-developed understanding of the relevant learning themes, particularly advanced project management during substantive development implementation and industry standard technical solutions in software or cybersecurity practice. Further improvement would come from deeper justification, more consistent evaluation evidence and tighter links between decisions and implementation details.</x:v>
      </x:c>
      <x:c r="E1618" s="36" t="str">
        <x:v>SILO1: advanced project management during substantive development implementation; SILO2: industry standard technical solutions in software or cybersecurity practice</x:v>
      </x:c>
      <x:c r="F1618" s="35" t="n">
        <x:v>0.35</x:v>
      </x:c>
      <x:c r="G1618" s="37" t="n">
        <x:f>C1618*F1618</x:f>
        <x:v>28.349999999999998</x:v>
      </x:c>
    </x:row>
    <x:row r="1619" ht="15" hidden="0" customHeight="1">
      <x:c r="A1619" s="34" t="str">
        <x:v>STU0148</x:v>
      </x:c>
      <x:c r="B1619" s="35" t="str">
        <x:v>CSE1OOF - Test</x:v>
      </x:c>
      <x:c r="C1619" s="35" t="n">
        <x:v>76</x:v>
      </x:c>
      <x:c r="D1619" s="36" t="str">
        <x:v>This strong result shows well-developed understanding of the relevant learning themes, particularly analysis/design/implementation compared with object-oriented modelling using objects that combine data structure and behaviour and abstract data types and encapsulation to localise and minimise change. Further improvement would come from deeper justification, more consistent evaluation evidence and tighter links between decisions and implementation details.</x:v>
      </x:c>
      <x:c r="E1619" s="36" t="str">
        <x:v>SILO1: analysis/design/implementation compared with object-oriented modelling using objects that combine data structure and behaviour; SILO2: abstract data types and encapsulation to localise and minimise change</x:v>
      </x:c>
      <x:c r="F1619" s="35" t="n">
        <x:v>0.15</x:v>
      </x:c>
      <x:c r="G1619" s="37" t="n">
        <x:f>C1619*F1619</x:f>
        <x:v>11.4</x:v>
      </x:c>
    </x:row>
    <x:row r="1620" ht="15" hidden="0" customHeight="1">
      <x:c r="A1620" s="34" t="str">
        <x:v>STU0148</x:v>
      </x:c>
      <x:c r="B1620" s="35" t="str">
        <x:v>CSE1OOF - Practical demonstration</x:v>
      </x:c>
      <x:c r="C1620" s="35" t="n">
        <x:v>77</x:v>
      </x:c>
      <x:c r="D1620"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1620" s="36" t="str">
        <x:v>SILO2: abstract data types and encapsulation to localise and minimise change; SILO3: code sharing and reuse through object-oriented techniques to reduce development time; SILO4: object-oriented design and implementation of computer programs for real-life problems</x:v>
      </x:c>
      <x:c r="F1620" s="35" t="n">
        <x:v>0.2</x:v>
      </x:c>
      <x:c r="G1620" s="37" t="n">
        <x:f>C1620*F1620</x:f>
        <x:v>15.4</x:v>
      </x:c>
    </x:row>
    <x:row r="1621" ht="15" hidden="0" customHeight="1">
      <x:c r="A1621" s="34" t="str">
        <x:v>STU0148</x:v>
      </x:c>
      <x:c r="B1621" s="35" t="str">
        <x:v>CSE1OOF - Assignment</x:v>
      </x:c>
      <x:c r="C1621" s="35" t="n">
        <x:v>78</x:v>
      </x:c>
      <x:c r="D1621"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1621" s="36" t="str">
        <x:v>SILO2: abstract data types and encapsulation to localise and minimise change; SILO3: code sharing and reuse through object-oriented techniques to reduce development time; SILO4: object-oriented design and implementation of computer programs for real-life problems</x:v>
      </x:c>
      <x:c r="F1621" s="35" t="n">
        <x:v>0.25</x:v>
      </x:c>
      <x:c r="G1621" s="37" t="n">
        <x:f>C1621*F1621</x:f>
        <x:v>19.5</x:v>
      </x:c>
    </x:row>
    <x:row r="1622" ht="15" hidden="0" customHeight="1">
      <x:c r="A1622" s="34" t="str">
        <x:v>STU0148</x:v>
      </x:c>
      <x:c r="B1622" s="35" t="str">
        <x:v>CSE1OOF - Central examination</x:v>
      </x:c>
      <x:c r="C1622" s="35" t="n">
        <x:v>77</x:v>
      </x:c>
      <x:c r="D1622" s="36" t="str">
        <x:v>This strong result shows well-developed understanding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Further improvement would come from deeper justification, more consistent evaluation evidence and tighter links between decisions and implementation details.</x:v>
      </x:c>
      <x:c r="E1622"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622" s="35" t="n">
        <x:v>0.4</x:v>
      </x:c>
      <x:c r="G1622" s="37" t="n">
        <x:f>C1622*F1622</x:f>
        <x:v>30.8</x:v>
      </x:c>
    </x:row>
    <x:row r="1623" ht="15" hidden="0" customHeight="1">
      <x:c r="A1623" s="34" t="str">
        <x:v>STU0148</x:v>
      </x:c>
      <x:c r="B1623" s="35" t="str">
        <x:v>CSE2ALG - Test</x:v>
      </x:c>
      <x:c r="C1623" s="35" t="n">
        <x:v>69</x:v>
      </x:c>
      <x:c r="D1623"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1623" s="36" t="str">
        <x:v>SILO1: overall objectives of Algorithms and Data Structures; SILO2: identifying data structures and searching and sorting algorithms in computing contexts; SILO3: implementing data structures and searching and sorting algorithms in Java</x:v>
      </x:c>
      <x:c r="F1623" s="35" t="n">
        <x:v>0.2</x:v>
      </x:c>
      <x:c r="G1623" s="37" t="n">
        <x:f>C1623*F1623</x:f>
        <x:v>13.8</x:v>
      </x:c>
    </x:row>
    <x:row r="1624" ht="15" hidden="0" customHeight="1">
      <x:c r="A1624" s="34" t="str">
        <x:v>STU0148</x:v>
      </x:c>
      <x:c r="B1624" s="35" t="str">
        <x:v>CSE2ALG - Assignment</x:v>
      </x:c>
      <x:c r="C1624" s="35" t="n">
        <x:v>70</x:v>
      </x:c>
      <x:c r="D1624" s="36" t="str">
        <x:v>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x:v>
      </x:c>
      <x:c r="E1624"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624" s="35" t="n">
        <x:v>0.3</x:v>
      </x:c>
      <x:c r="G1624" s="37" t="n">
        <x:f>C1624*F1624</x:f>
        <x:v>21</x:v>
      </x:c>
    </x:row>
    <x:row r="1625" ht="15" hidden="0" customHeight="1">
      <x:c r="A1625" s="34" t="str">
        <x:v>STU0148</x:v>
      </x:c>
      <x:c r="B1625" s="35" t="str">
        <x:v>CSE2ALG - Central examination</x:v>
      </x:c>
      <x:c r="C1625" s="35" t="n">
        <x:v>74</x:v>
      </x:c>
      <x:c r="D1625"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1625"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625" s="35" t="n">
        <x:v>0.5</x:v>
      </x:c>
      <x:c r="G1625" s="37" t="n">
        <x:f>C1625*F1625</x:f>
        <x:v>37</x:v>
      </x:c>
    </x:row>
    <x:row r="1626" ht="15" hidden="0" customHeight="1">
      <x:c r="A1626" s="34" t="str">
        <x:v>STU0148</x:v>
      </x:c>
      <x:c r="B1626" s="35" t="str">
        <x:v>CSE3CAP - Oral presentation: Project Milestone Presentation</x:v>
      </x:c>
      <x:c r="C1626" s="35" t="n">
        <x:v>72</x:v>
      </x:c>
      <x:c r="D1626"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1626" s="36" t="str">
        <x:v>SILO3: reporting project outcomes to technical and non-technical audiences and reflecting on feedback</x:v>
      </x:c>
      <x:c r="F1626" s="35" t="n">
        <x:v>0.1</x:v>
      </x:c>
      <x:c r="G1626" s="37" t="n">
        <x:f>C1626*F1626</x:f>
        <x:v>7.2</x:v>
      </x:c>
    </x:row>
    <x:row r="1627" ht="15" hidden="0" customHeight="1">
      <x:c r="A1627" s="34" t="str">
        <x:v>STU0148</x:v>
      </x:c>
      <x:c r="B1627" s="35" t="str">
        <x:v>CSE3CAP - Oral presentation: Final Project Presentation</x:v>
      </x:c>
      <x:c r="C1627" s="35" t="n">
        <x:v>76</x:v>
      </x:c>
      <x:c r="D1627" s="36" t="str">
        <x:v>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x:v>
      </x:c>
      <x:c r="E1627" s="36" t="str">
        <x:v>SILO3: reporting project outcomes to technical and non-technical audiences and reflecting on feedback</x:v>
      </x:c>
      <x:c r="F1627" s="35" t="n">
        <x:v>0.2</x:v>
      </x:c>
      <x:c r="G1627" s="37" t="n">
        <x:f>C1627*F1627</x:f>
        <x:v>15.200000000000001</x:v>
      </x:c>
    </x:row>
    <x:row r="1628" ht="15" hidden="0" customHeight="1">
      <x:c r="A1628" s="34" t="str">
        <x:v>STU0148</x:v>
      </x:c>
      <x:c r="B1628" s="35" t="str">
        <x:v>CSE3CAP - Assignment: Final written Project Report</x:v>
      </x:c>
      <x:c r="C1628" s="35" t="n">
        <x:v>74</x:v>
      </x:c>
      <x:c r="D1628" s="36" t="str">
        <x:v>This sound result shows a competent and generally reliable grasp of the relevant learning themes, particularly industry standard technical solutions in software or cybersecurity practice and professional system documentation and advanced technical reporting to industry standards. To strengthen the result, the student should provide clearer reasoning, improve technical precision and show more complete testing or reflection.</x:v>
      </x:c>
      <x:c r="E1628" s="36" t="str">
        <x:v>SILO2: industry standard technical solutions in software or cybersecurity practice; SILO4: professional system documentation and advanced technical reporting to industry standards</x:v>
      </x:c>
      <x:c r="F1628" s="35" t="n">
        <x:v>0.35</x:v>
      </x:c>
      <x:c r="G1628" s="37" t="n">
        <x:f>C1628*F1628</x:f>
        <x:v>25.9</x:v>
      </x:c>
    </x:row>
    <x:row r="1629" ht="15" hidden="0" customHeight="1">
      <x:c r="A1629" s="34" t="str">
        <x:v>STU0148</x:v>
      </x:c>
      <x:c r="B1629" s="35" t="str">
        <x:v>CSE3CAP - Assignment: Sprint Project management reports</x:v>
      </x:c>
      <x:c r="C1629" s="35" t="n">
        <x:v>78</x:v>
      </x:c>
      <x:c r="D1629" s="36" t="str">
        <x:v>This strong result shows well-developed understanding of the relevant learning themes, particularly advanced project management during substantive development implementation and industry standard technical solutions in software or cybersecurity practice. Further improvement would come from deeper justification, more consistent evaluation evidence and tighter links between decisions and implementation details.</x:v>
      </x:c>
      <x:c r="E1629" s="36" t="str">
        <x:v>SILO1: advanced project management during substantive development implementation; SILO2: industry standard technical solutions in software or cybersecurity practice</x:v>
      </x:c>
      <x:c r="F1629" s="35" t="n">
        <x:v>0.35</x:v>
      </x:c>
      <x:c r="G1629" s="37" t="n">
        <x:f>C1629*F1629</x:f>
        <x:v>27.299999999999997</x:v>
      </x:c>
    </x:row>
    <x:row r="1630" ht="15" hidden="0" customHeight="1">
      <x:c r="A1630" s="34" t="str">
        <x:v>STU0149</x:v>
      </x:c>
      <x:c r="B1630" s="35" t="str">
        <x:v>CSE1OOF - Test</x:v>
      </x:c>
      <x:c r="C1630" s="35" t="n">
        <x:v>65</x:v>
      </x:c>
      <x:c r="D1630" s="36" t="str">
        <x:v>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x:v>
      </x:c>
      <x:c r="E1630" s="36" t="str">
        <x:v>SILO1: analysis/design/implementation compared with object-oriented modelling using objects that combine data structure and behaviour; SILO2: abstract data types and encapsulation to localise and minimise change</x:v>
      </x:c>
      <x:c r="F1630" s="35" t="n">
        <x:v>0.15</x:v>
      </x:c>
      <x:c r="G1630" s="37" t="n">
        <x:f>C1630*F1630</x:f>
        <x:v>9.75</x:v>
      </x:c>
    </x:row>
    <x:row r="1631" ht="15" hidden="0" customHeight="1">
      <x:c r="A1631" s="34" t="str">
        <x:v>STU0149</x:v>
      </x:c>
      <x:c r="B1631" s="35" t="str">
        <x:v>CSE1OOF - Practical demonstration</x:v>
      </x:c>
      <x:c r="C1631" s="35" t="n">
        <x:v>63</x:v>
      </x:c>
      <x:c r="D1631"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631" s="36" t="str">
        <x:v>SILO2: abstract data types and encapsulation to localise and minimise change; SILO3: code sharing and reuse through object-oriented techniques to reduce development time; SILO4: object-oriented design and implementation of computer programs for real-life problems</x:v>
      </x:c>
      <x:c r="F1631" s="35" t="n">
        <x:v>0.2</x:v>
      </x:c>
      <x:c r="G1631" s="37" t="n">
        <x:f>C1631*F1631</x:f>
        <x:v>12.600000000000001</x:v>
      </x:c>
    </x:row>
    <x:row r="1632" ht="15" hidden="0" customHeight="1">
      <x:c r="A1632" s="34" t="str">
        <x:v>STU0149</x:v>
      </x:c>
      <x:c r="B1632" s="35" t="str">
        <x:v>CSE1OOF - Assignment</x:v>
      </x:c>
      <x:c r="C1632" s="35" t="n">
        <x:v>61</x:v>
      </x:c>
      <x:c r="D1632" s="36" t="str">
        <x:v>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x:v>
      </x:c>
      <x:c r="E1632" s="36" t="str">
        <x:v>SILO2: abstract data types and encapsulation to localise and minimise change; SILO3: code sharing and reuse through object-oriented techniques to reduce development time; SILO4: object-oriented design and implementation of computer programs for real-life problems</x:v>
      </x:c>
      <x:c r="F1632" s="35" t="n">
        <x:v>0.25</x:v>
      </x:c>
      <x:c r="G1632" s="37" t="n">
        <x:f>C1632*F1632</x:f>
        <x:v>15.25</x:v>
      </x:c>
    </x:row>
    <x:row r="1633" ht="15" hidden="0" customHeight="1">
      <x:c r="A1633" s="34" t="str">
        <x:v>STU0149</x:v>
      </x:c>
      <x:c r="B1633" s="35" t="str">
        <x:v>CSE1OOF - Central examination</x:v>
      </x:c>
      <x:c r="C1633" s="35" t="n">
        <x:v>66</x:v>
      </x:c>
      <x:c r="D1633" s="36" t="str">
        <x:v>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x:v>
      </x:c>
      <x:c r="E1633"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633" s="35" t="n">
        <x:v>0.4</x:v>
      </x:c>
      <x:c r="G1633" s="37" t="n">
        <x:f>C1633*F1633</x:f>
        <x:v>26.400000000000002</x:v>
      </x:c>
    </x:row>
    <x:row r="1634" ht="15" hidden="0" customHeight="1">
      <x:c r="A1634" s="34" t="str">
        <x:v>STU0149</x:v>
      </x:c>
      <x:c r="B1634" s="35" t="str">
        <x:v>CSE2ALG - Test</x:v>
      </x:c>
      <x:c r="C1634" s="35" t="n">
        <x:v>71</x:v>
      </x:c>
      <x:c r="D1634" s="36" t="str">
        <x:v>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x:v>
      </x:c>
      <x:c r="E1634" s="36" t="str">
        <x:v>SILO1: overall objectives of Algorithms and Data Structures; SILO2: identifying data structures and searching and sorting algorithms in computing contexts; SILO3: implementing data structures and searching and sorting algorithms in Java</x:v>
      </x:c>
      <x:c r="F1634" s="35" t="n">
        <x:v>0.2</x:v>
      </x:c>
      <x:c r="G1634" s="37" t="n">
        <x:f>C1634*F1634</x:f>
        <x:v>14.200000000000001</x:v>
      </x:c>
    </x:row>
    <x:row r="1635" ht="15" hidden="0" customHeight="1">
      <x:c r="A1635" s="34" t="str">
        <x:v>STU0149</x:v>
      </x:c>
      <x:c r="B1635" s="35" t="str">
        <x:v>CSE2ALG - Assignment</x:v>
      </x:c>
      <x:c r="C1635" s="35" t="n">
        <x:v>70</x:v>
      </x:c>
      <x:c r="D1635" s="36" t="str">
        <x:v>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x:v>
      </x:c>
      <x:c r="E1635"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635" s="35" t="n">
        <x:v>0.3</x:v>
      </x:c>
      <x:c r="G1635" s="37" t="n">
        <x:f>C1635*F1635</x:f>
        <x:v>21</x:v>
      </x:c>
    </x:row>
    <x:row r="1636" ht="15" hidden="0" customHeight="1">
      <x:c r="A1636" s="34" t="str">
        <x:v>STU0149</x:v>
      </x:c>
      <x:c r="B1636" s="35" t="str">
        <x:v>CSE2ALG - Central examination</x:v>
      </x:c>
      <x:c r="C1636" s="35" t="n">
        <x:v>71</x:v>
      </x:c>
      <x:c r="D1636" s="36" t="str">
        <x:v>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x:v>
      </x:c>
      <x:c r="E1636"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636" s="35" t="n">
        <x:v>0.5</x:v>
      </x:c>
      <x:c r="G1636" s="37" t="n">
        <x:f>C1636*F1636</x:f>
        <x:v>35.5</x:v>
      </x:c>
    </x:row>
    <x:row r="1637" ht="15" hidden="0" customHeight="1">
      <x:c r="A1637" s="34" t="str">
        <x:v>STU0149</x:v>
      </x:c>
      <x:c r="B1637" s="35" t="str">
        <x:v>CSE3CAP - Oral presentation: Project Milestone Presentation</x:v>
      </x:c>
      <x:c r="C1637" s="35" t="n">
        <x:v>66</x:v>
      </x:c>
      <x:c r="D1637"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1637" s="36" t="str">
        <x:v>SILO3: reporting project outcomes to technical and non-technical audiences and reflecting on feedback</x:v>
      </x:c>
      <x:c r="F1637" s="35" t="n">
        <x:v>0.1</x:v>
      </x:c>
      <x:c r="G1637" s="37" t="n">
        <x:f>C1637*F1637</x:f>
        <x:v>6.6000000000000005</x:v>
      </x:c>
    </x:row>
    <x:row r="1638" ht="15" hidden="0" customHeight="1">
      <x:c r="A1638" s="34" t="str">
        <x:v>STU0149</x:v>
      </x:c>
      <x:c r="B1638" s="35" t="str">
        <x:v>CSE3CAP - Oral presentation: Final Project Presentation</x:v>
      </x:c>
      <x:c r="C1638" s="35" t="n">
        <x:v>66</x:v>
      </x:c>
      <x:c r="D1638" s="36" t="str">
        <x:v>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x:v>
      </x:c>
      <x:c r="E1638" s="36" t="str">
        <x:v>SILO3: reporting project outcomes to technical and non-technical audiences and reflecting on feedback</x:v>
      </x:c>
      <x:c r="F1638" s="35" t="n">
        <x:v>0.2</x:v>
      </x:c>
      <x:c r="G1638" s="37" t="n">
        <x:f>C1638*F1638</x:f>
        <x:v>13.200000000000001</x:v>
      </x:c>
    </x:row>
    <x:row r="1639" ht="15" hidden="0" customHeight="1">
      <x:c r="A1639" s="34" t="str">
        <x:v>STU0149</x:v>
      </x:c>
      <x:c r="B1639" s="35" t="str">
        <x:v>CSE3CAP - Assignment: Final written Project Report</x:v>
      </x:c>
      <x:c r="C1639" s="35" t="n">
        <x:v>69</x:v>
      </x:c>
      <x:c r="D1639" s="36" t="str">
        <x:v>This sound result shows a competent and generally reliable grasp of the relevant learning themes, particularly industry standard technical solutions in software or cybersecurity practice and professional system documentation and advanced technical reporting to industry standards. To strengthen the result, the student should provide clearer reasoning, improve technical precision and show more complete testing or reflection.</x:v>
      </x:c>
      <x:c r="E1639" s="36" t="str">
        <x:v>SILO2: industry standard technical solutions in software or cybersecurity practice; SILO4: professional system documentation and advanced technical reporting to industry standards</x:v>
      </x:c>
      <x:c r="F1639" s="35" t="n">
        <x:v>0.35</x:v>
      </x:c>
      <x:c r="G1639" s="37" t="n">
        <x:f>C1639*F1639</x:f>
        <x:v>24.15</x:v>
      </x:c>
    </x:row>
    <x:row r="1640" ht="15" hidden="0" customHeight="1">
      <x:c r="A1640" s="34" t="str">
        <x:v>STU0149</x:v>
      </x:c>
      <x:c r="B1640" s="35" t="str">
        <x:v>CSE3CAP - Assignment: Sprint Project management reports</x:v>
      </x:c>
      <x:c r="C1640" s="35" t="n">
        <x:v>64</x:v>
      </x:c>
      <x:c r="D1640" s="36" t="str">
        <x:v>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x:v>
      </x:c>
      <x:c r="E1640" s="36" t="str">
        <x:v>SILO1: advanced project management during substantive development implementation; SILO2: industry standard technical solutions in software or cybersecurity practice</x:v>
      </x:c>
      <x:c r="F1640" s="35" t="n">
        <x:v>0.35</x:v>
      </x:c>
      <x:c r="G1640" s="37" t="n">
        <x:f>C1640*F1640</x:f>
        <x:v>22.4</x:v>
      </x:c>
    </x:row>
    <x:row r="1641" ht="15" hidden="0" customHeight="1">
      <x:c r="A1641" s="34" t="str">
        <x:v>STU0150</x:v>
      </x:c>
      <x:c r="B1641" s="35" t="str">
        <x:v>CSE1OOF - Test</x:v>
      </x:c>
      <x:c r="C1641" s="35" t="n">
        <x:v>88</x:v>
      </x:c>
      <x:c r="D1641" s="36" t="str">
        <x:v>This excellent result demonstrates confident and independent command of the relevant learning themes, particularly analysis/design/implementation compared with object-oriented modelling using objects that combine data structure and behaviour and abstract data types and encapsulation to localise and minimise change. The work is clear, accurate and well justified, with only minor opportunities to further polish explanation or evaluation.</x:v>
      </x:c>
      <x:c r="E1641" s="36" t="str">
        <x:v>SILO1: analysis/design/implementation compared with object-oriented modelling using objects that combine data structure and behaviour; SILO2: abstract data types and encapsulation to localise and minimise change</x:v>
      </x:c>
      <x:c r="F1641" s="35" t="n">
        <x:v>0.15</x:v>
      </x:c>
      <x:c r="G1641" s="37" t="n">
        <x:f>C1641*F1641</x:f>
        <x:v>13.2</x:v>
      </x:c>
    </x:row>
    <x:row r="1642" ht="15" hidden="0" customHeight="1">
      <x:c r="A1642" s="34" t="str">
        <x:v>STU0150</x:v>
      </x:c>
      <x:c r="B1642" s="35" t="str">
        <x:v>CSE1OOF - Practical demonstration</x:v>
      </x:c>
      <x:c r="C1642" s="35" t="n">
        <x:v>84</x:v>
      </x:c>
      <x:c r="D1642"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1642" s="36" t="str">
        <x:v>SILO2: abstract data types and encapsulation to localise and minimise change; SILO3: code sharing and reuse through object-oriented techniques to reduce development time; SILO4: object-oriented design and implementation of computer programs for real-life problems</x:v>
      </x:c>
      <x:c r="F1642" s="35" t="n">
        <x:v>0.2</x:v>
      </x:c>
      <x:c r="G1642" s="37" t="n">
        <x:f>C1642*F1642</x:f>
        <x:v>16.8</x:v>
      </x:c>
    </x:row>
    <x:row r="1643" ht="15" hidden="0" customHeight="1">
      <x:c r="A1643" s="34" t="str">
        <x:v>STU0150</x:v>
      </x:c>
      <x:c r="B1643" s="35" t="str">
        <x:v>CSE1OOF - Assignment</x:v>
      </x:c>
      <x:c r="C1643" s="35" t="n">
        <x:v>83</x:v>
      </x:c>
      <x:c r="D1643" s="36" t="str">
        <x:v>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x:v>
      </x:c>
      <x:c r="E1643" s="36" t="str">
        <x:v>SILO2: abstract data types and encapsulation to localise and minimise change; SILO3: code sharing and reuse through object-oriented techniques to reduce development time; SILO4: object-oriented design and implementation of computer programs for real-life problems</x:v>
      </x:c>
      <x:c r="F1643" s="35" t="n">
        <x:v>0.25</x:v>
      </x:c>
      <x:c r="G1643" s="37" t="n">
        <x:f>C1643*F1643</x:f>
        <x:v>20.75</x:v>
      </x:c>
    </x:row>
    <x:row r="1644" ht="15" hidden="0" customHeight="1">
      <x:c r="A1644" s="34" t="str">
        <x:v>STU0150</x:v>
      </x:c>
      <x:c r="B1644" s="35" t="str">
        <x:v>CSE1OOF - Central examination</x:v>
      </x:c>
      <x:c r="C1644" s="35" t="n">
        <x:v>88</x:v>
      </x:c>
      <x:c r="D1644" s="36" t="str">
        <x:v>This excellent result demonstrates confident and independent command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The work is clear, accurate and well justified, with only minor opportunities to further polish explanation or evaluation.</x:v>
      </x:c>
      <x:c r="E1644" s="36"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c r="F1644" s="35" t="n">
        <x:v>0.4</x:v>
      </x:c>
      <x:c r="G1644" s="37" t="n">
        <x:f>C1644*F1644</x:f>
        <x:v>35.2</x:v>
      </x:c>
    </x:row>
    <x:row r="1645" ht="15" hidden="0" customHeight="1">
      <x:c r="A1645" s="34" t="str">
        <x:v>STU0150</x:v>
      </x:c>
      <x:c r="B1645" s="35" t="str">
        <x:v>CSE2ALG - Test</x:v>
      </x:c>
      <x:c r="C1645" s="35" t="n">
        <x:v>87</x:v>
      </x:c>
      <x:c r="D1645" s="36" t="str">
        <x:v>This excellent result demonstrates confident and independent command of the relevant learning themes, particularly overall objectives of Algorithms and Data Structures, identifying data structures and searching and sorting algorithms in computing contexts, and implementing data structures and searching and sorting algorithms in Java. The work is clear, accurate and well justified, with only minor opportunities to further polish explanation or evaluation.</x:v>
      </x:c>
      <x:c r="E1645" s="36" t="str">
        <x:v>SILO1: overall objectives of Algorithms and Data Structures; SILO2: identifying data structures and searching and sorting algorithms in computing contexts; SILO3: implementing data structures and searching and sorting algorithms in Java</x:v>
      </x:c>
      <x:c r="F1645" s="35" t="n">
        <x:v>0.2</x:v>
      </x:c>
      <x:c r="G1645" s="37" t="n">
        <x:f>C1645*F1645</x:f>
        <x:v>17.400000000000002</x:v>
      </x:c>
    </x:row>
    <x:row r="1646" ht="15" hidden="0" customHeight="1">
      <x:c r="A1646" s="34" t="str">
        <x:v>STU0150</x:v>
      </x:c>
      <x:c r="B1646" s="35" t="str">
        <x:v>CSE2ALG - Assignment</x:v>
      </x:c>
      <x:c r="C1646" s="35" t="n">
        <x:v>87</x:v>
      </x:c>
      <x:c r="D1646" s="36" t="str">
        <x:v>This excellent result demonstrates confident and independent command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The work is clear, accurate and well justified, with only minor opportunities to further polish explanation or evaluation.</x:v>
      </x:c>
      <x:c r="E1646" s="36"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c r="F1646" s="35" t="n">
        <x:v>0.3</x:v>
      </x:c>
      <x:c r="G1646" s="37" t="n">
        <x:f>C1646*F1646</x:f>
        <x:v>26.099999999999998</x:v>
      </x:c>
    </x:row>
    <x:row r="1647" ht="15" hidden="0" customHeight="1">
      <x:c r="A1647" s="34" t="str">
        <x:v>STU0150</x:v>
      </x:c>
      <x:c r="B1647" s="35" t="str">
        <x:v>CSE2ALG - Central examination</x:v>
      </x:c>
      <x:c r="C1647" s="35" t="n">
        <x:v>85</x:v>
      </x:c>
      <x:c r="D1647" s="36" t="str">
        <x:v>This excellent result demonstrates confident and independent command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The work is clear, accurate and well justified, with only minor opportunities to further polish explanation or evaluation.</x:v>
      </x:c>
      <x:c r="E1647" s="36"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c r="F1647" s="35" t="n">
        <x:v>0.5</x:v>
      </x:c>
      <x:c r="G1647" s="37" t="n">
        <x:f>C1647*F1647</x:f>
        <x:v>42.5</x:v>
      </x:c>
    </x:row>
    <x:row r="1648" ht="15" hidden="0" customHeight="1">
      <x:c r="A1648" s="34" t="str">
        <x:v>STU0150</x:v>
      </x:c>
      <x:c r="B1648" s="35" t="str">
        <x:v>CSE3CAP - Oral presentation: Project Milestone Presentation</x:v>
      </x:c>
      <x:c r="C1648" s="35" t="n">
        <x:v>86</x:v>
      </x:c>
      <x:c r="D1648" s="36" t="str">
        <x:v>This excellent result demonstrates confident and independent command of the relevant learning themes, particularly reporting project outcomes to technical and non-technical audiences and reflecting on feedback. The work is clear, accurate and well justified, with only minor opportunities to further polish explanation or evaluation.</x:v>
      </x:c>
      <x:c r="E1648" s="36" t="str">
        <x:v>SILO3: reporting project outcomes to technical and non-technical audiences and reflecting on feedback</x:v>
      </x:c>
      <x:c r="F1648" s="35" t="n">
        <x:v>0.1</x:v>
      </x:c>
      <x:c r="G1648" s="37" t="n">
        <x:f>C1648*F1648</x:f>
        <x:v>8.6</x:v>
      </x:c>
    </x:row>
    <x:row r="1649" ht="15" hidden="0" customHeight="1">
      <x:c r="A1649" s="34" t="str">
        <x:v>STU0150</x:v>
      </x:c>
      <x:c r="B1649" s="35" t="str">
        <x:v>CSE3CAP - Oral presentation: Final Project Presentation</x:v>
      </x:c>
      <x:c r="C1649" s="35" t="n">
        <x:v>88</x:v>
      </x:c>
      <x:c r="D1649" s="36" t="str">
        <x:v>This excellent result demonstrates confident and independent command of the relevant learning themes, particularly reporting project outcomes to technical and non-technical audiences and reflecting on feedback. The work is clear, accurate and well justified, with only minor opportunities to further polish explanation or evaluation.</x:v>
      </x:c>
      <x:c r="E1649" s="36" t="str">
        <x:v>SILO3: reporting project outcomes to technical and non-technical audiences and reflecting on feedback</x:v>
      </x:c>
      <x:c r="F1649" s="35" t="n">
        <x:v>0.2</x:v>
      </x:c>
      <x:c r="G1649" s="37" t="n">
        <x:f>C1649*F1649</x:f>
        <x:v>17.6</x:v>
      </x:c>
    </x:row>
    <x:row r="1650" ht="15" hidden="0" customHeight="1">
      <x:c r="A1650" s="34" t="str">
        <x:v>STU0150</x:v>
      </x:c>
      <x:c r="B1650" s="35" t="str">
        <x:v>CSE3CAP - Assignment: Final written Project Report</x:v>
      </x:c>
      <x:c r="C1650" s="35" t="n">
        <x:v>84</x:v>
      </x:c>
      <x:c r="D1650" s="36" t="str">
        <x:v>This strong result shows well-developed understanding of the relevant learning themes, particularly industry standard technical solutions in software or cybersecurity practice and professional system documentation and advanced technical reporting to industry standards. Further improvement would come from deeper justification, more consistent evaluation evidence and tighter links between decisions and implementation details.</x:v>
      </x:c>
      <x:c r="E1650" s="36" t="str">
        <x:v>SILO2: industry standard technical solutions in software or cybersecurity practice; SILO4: professional system documentation and advanced technical reporting to industry standards</x:v>
      </x:c>
      <x:c r="F1650" s="35" t="n">
        <x:v>0.35</x:v>
      </x:c>
      <x:c r="G1650" s="37" t="n">
        <x:f>C1650*F1650</x:f>
        <x:v>29.4</x:v>
      </x:c>
    </x:row>
    <x:row r="1651" ht="15" hidden="0" customHeight="1">
      <x:c r="A1651" s="38" t="str">
        <x:v>STU0150</x:v>
      </x:c>
      <x:c r="B1651" s="39" t="str">
        <x:v>CSE3CAP - Assignment: Sprint Project management reports</x:v>
      </x:c>
      <x:c r="C1651" s="39" t="n">
        <x:v>85</x:v>
      </x:c>
      <x:c r="D1651" s="40" t="str">
        <x:v>This excellent result demonstrates confident and independent command of the relevant learning themes, particularly advanced project management during substantive development implementation and industry standard technical solutions in software or cybersecurity practice. The work is clear, accurate and well justified, with only minor opportunities to further polish explanation or evaluation.</x:v>
      </x:c>
      <x:c r="E1651" s="40" t="str">
        <x:v>SILO1: advanced project management during substantive development implementation; SILO2: industry standard technical solutions in software or cybersecurity practice</x:v>
      </x:c>
      <x:c r="F1651" s="39" t="n">
        <x:v>0.35</x:v>
      </x:c>
      <x:c r="G1651" s="41" t="n">
        <x:f>C1651*F1651</x:f>
        <x:v>29.749999999999996</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6" hidden="0" customWidth="1"/>
    <x:col min="3" max="3" width="16" hidden="0" customWidth="1"/>
    <x:col min="4" max="4" width="16" hidden="0" customWidth="1"/>
    <x:col min="5" max="5" width="16" hidden="0" customWidth="1"/>
    <x:col min="6" max="6" width="18" hidden="0" customWidth="1"/>
  </x:cols>
  <x:sheetData>
    <x:row r="1" ht="15" hidden="0" customHeight="1">
      <x:c r="A1" s="7" t="str">
        <x:v>Student ID</x:v>
      </x:c>
      <x:c r="B1" s="14" t="str">
        <x:v>CSE1OOF Total</x:v>
      </x:c>
      <x:c r="C1" s="14" t="str">
        <x:v>CSE2ALG Total</x:v>
      </x:c>
      <x:c r="D1" s="14" t="str">
        <x:v>CSE3CAP Total</x:v>
      </x:c>
      <x:c r="E1" s="14" t="str">
        <x:v>Average Total</x:v>
      </x:c>
      <x:c r="F1" s="7" t="str">
        <x:v>Performance Band</x:v>
      </x:c>
    </x:row>
    <x:row r="2" ht="15" hidden="0" customHeight="1">
      <x:c r="A2" s="18" t="str">
        <x:v>STU0001</x:v>
      </x:c>
      <x:c r="B2" s="19" t="n">
        <x:f>SUM(Results!G2:G5)</x:f>
        <x:v>50.65</x:v>
      </x:c>
      <x:c r="C2" s="19" t="n">
        <x:f>SUM(Results!G6:G8)</x:f>
        <x:v>50.8</x:v>
      </x:c>
      <x:c r="D2" s="19" t="n">
        <x:f>SUM(Results!G9:G12)</x:f>
        <x:v>48.39999999999999</x:v>
      </x:c>
      <x:c r="E2" s="19" t="n">
        <x:f>AVERAGE(B2:D2)</x:f>
        <x:v>49.94999999999999</x:v>
      </x:c>
      <x:c r="F2" s="21" t="str">
        <x:f>IF(E2&gt;=80,"HD/D range",IF(E2&gt;=70,"D range",IF(E2&gt;=60,"C range",IF(E2&gt;=50,"P range","At risk"))))</x:f>
        <x:v>At risk</x:v>
      </x:c>
    </x:row>
    <x:row r="3" ht="15" hidden="0" customHeight="1">
      <x:c r="A3" s="22" t="str">
        <x:v>STU0002</x:v>
      </x:c>
      <x:c r="B3" s="23" t="n">
        <x:f>SUM(Results!G13:G16)</x:f>
        <x:v>71.2</x:v>
      </x:c>
      <x:c r="C3" s="23" t="n">
        <x:f>SUM(Results!G17:G19)</x:f>
        <x:v>71</x:v>
      </x:c>
      <x:c r="D3" s="23" t="n">
        <x:f>SUM(Results!G20:G23)</x:f>
        <x:v>65.69999999999999</x:v>
      </x:c>
      <x:c r="E3" s="23" t="n">
        <x:f>AVERAGE(B3:D3)</x:f>
        <x:v>69.3</x:v>
      </x:c>
      <x:c r="F3" s="25" t="str">
        <x:f>IF(E3&gt;=80,"HD/D range",IF(E3&gt;=70,"D range",IF(E3&gt;=60,"C range",IF(E3&gt;=50,"P range","At risk"))))</x:f>
        <x:v>C range</x:v>
      </x:c>
    </x:row>
    <x:row r="4" ht="15" hidden="0" customHeight="1">
      <x:c r="A4" s="22" t="str">
        <x:v>STU0003</x:v>
      </x:c>
      <x:c r="B4" s="23" t="n">
        <x:f>SUM(Results!G24:G27)</x:f>
        <x:v>62.650000000000006</x:v>
      </x:c>
      <x:c r="C4" s="23" t="n">
        <x:f>SUM(Results!G28:G30)</x:f>
        <x:v>64.1</x:v>
      </x:c>
      <x:c r="D4" s="23" t="n">
        <x:f>SUM(Results!G31:G34)</x:f>
        <x:v>65.39999999999999</x:v>
      </x:c>
      <x:c r="E4" s="23" t="n">
        <x:f>AVERAGE(B4:D4)</x:f>
        <x:v>64.05</x:v>
      </x:c>
      <x:c r="F4" s="25" t="str">
        <x:f>IF(E4&gt;=80,"HD/D range",IF(E4&gt;=70,"D range",IF(E4&gt;=60,"C range",IF(E4&gt;=50,"P range","At risk"))))</x:f>
        <x:v>C range</x:v>
      </x:c>
    </x:row>
    <x:row r="5" ht="15" hidden="0" customHeight="1">
      <x:c r="A5" s="22" t="str">
        <x:v>STU0004</x:v>
      </x:c>
      <x:c r="B5" s="23" t="n">
        <x:f>SUM(Results!G35:G38)</x:f>
        <x:v>52.60000000000001</x:v>
      </x:c>
      <x:c r="C5" s="23" t="n">
        <x:f>SUM(Results!G39:G41)</x:f>
        <x:v>48</x:v>
      </x:c>
      <x:c r="D5" s="23" t="n">
        <x:f>SUM(Results!G42:G45)</x:f>
        <x:v>54.599999999999994</x:v>
      </x:c>
      <x:c r="E5" s="23" t="n">
        <x:f>AVERAGE(B5:D5)</x:f>
        <x:v>51.73333333333333</x:v>
      </x:c>
      <x:c r="F5" s="25" t="str">
        <x:f>IF(E5&gt;=80,"HD/D range",IF(E5&gt;=70,"D range",IF(E5&gt;=60,"C range",IF(E5&gt;=50,"P range","At risk"))))</x:f>
        <x:v>P range</x:v>
      </x:c>
    </x:row>
    <x:row r="6" ht="15" hidden="0" customHeight="1">
      <x:c r="A6" s="22" t="str">
        <x:v>STU0005</x:v>
      </x:c>
      <x:c r="B6" s="23" t="n">
        <x:f>SUM(Results!G46:G49)</x:f>
        <x:v>73.15</x:v>
      </x:c>
      <x:c r="C6" s="23" t="n">
        <x:f>SUM(Results!G50:G52)</x:f>
        <x:v>73.9</x:v>
      </x:c>
      <x:c r="D6" s="23" t="n">
        <x:f>SUM(Results!G53:G56)</x:f>
        <x:v>73.75</x:v>
      </x:c>
      <x:c r="E6" s="23" t="n">
        <x:f>AVERAGE(B6:D6)</x:f>
        <x:v>73.60000000000001</x:v>
      </x:c>
      <x:c r="F6" s="25" t="str">
        <x:f>IF(E6&gt;=80,"HD/D range",IF(E6&gt;=70,"D range",IF(E6&gt;=60,"C range",IF(E6&gt;=50,"P range","At risk"))))</x:f>
        <x:v>D range</x:v>
      </x:c>
    </x:row>
    <x:row r="7" ht="15" hidden="0" customHeight="1">
      <x:c r="A7" s="22" t="str">
        <x:v>STU0006</x:v>
      </x:c>
      <x:c r="B7" s="23" t="n">
        <x:f>SUM(Results!G57:G60)</x:f>
        <x:v>73.75</x:v>
      </x:c>
      <x:c r="C7" s="23" t="n">
        <x:f>SUM(Results!G61:G63)</x:f>
        <x:v>73.2</x:v>
      </x:c>
      <x:c r="D7" s="23" t="n">
        <x:f>SUM(Results!G64:G67)</x:f>
        <x:v>74.85</x:v>
      </x:c>
      <x:c r="E7" s="23" t="n">
        <x:f>AVERAGE(B7:D7)</x:f>
        <x:v>73.93333333333332</x:v>
      </x:c>
      <x:c r="F7" s="25" t="str">
        <x:f>IF(E7&gt;=80,"HD/D range",IF(E7&gt;=70,"D range",IF(E7&gt;=60,"C range",IF(E7&gt;=50,"P range","At risk"))))</x:f>
        <x:v>D range</x:v>
      </x:c>
    </x:row>
    <x:row r="8" ht="15" hidden="0" customHeight="1">
      <x:c r="A8" s="22" t="str">
        <x:v>STU0007</x:v>
      </x:c>
      <x:c r="B8" s="23" t="n">
        <x:f>SUM(Results!G68:G71)</x:f>
        <x:v>52.45</x:v>
      </x:c>
      <x:c r="C8" s="23" t="n">
        <x:f>SUM(Results!G72:G74)</x:f>
        <x:v>56.1</x:v>
      </x:c>
      <x:c r="D8" s="23" t="n">
        <x:f>SUM(Results!G75:G78)</x:f>
        <x:v>52.05</x:v>
      </x:c>
      <x:c r="E8" s="23" t="n">
        <x:f>AVERAGE(B8:D8)</x:f>
        <x:v>53.53333333333334</x:v>
      </x:c>
      <x:c r="F8" s="25" t="str">
        <x:f>IF(E8&gt;=80,"HD/D range",IF(E8&gt;=70,"D range",IF(E8&gt;=60,"C range",IF(E8&gt;=50,"P range","At risk"))))</x:f>
        <x:v>P range</x:v>
      </x:c>
    </x:row>
    <x:row r="9" ht="15" hidden="0" customHeight="1">
      <x:c r="A9" s="22" t="str">
        <x:v>STU0008</x:v>
      </x:c>
      <x:c r="B9" s="23" t="n">
        <x:f>SUM(Results!G79:G82)</x:f>
        <x:v>76.55000000000001</x:v>
      </x:c>
      <x:c r="C9" s="23" t="n">
        <x:f>SUM(Results!G83:G85)</x:f>
        <x:v>79.3</x:v>
      </x:c>
      <x:c r="D9" s="23" t="n">
        <x:f>SUM(Results!G86:G89)</x:f>
        <x:v>80.35</x:v>
      </x:c>
      <x:c r="E9" s="23" t="n">
        <x:f>AVERAGE(B9:D9)</x:f>
        <x:v>78.73333333333333</x:v>
      </x:c>
      <x:c r="F9" s="25" t="str">
        <x:f>IF(E9&gt;=80,"HD/D range",IF(E9&gt;=70,"D range",IF(E9&gt;=60,"C range",IF(E9&gt;=50,"P range","At risk"))))</x:f>
        <x:v>D range</x:v>
      </x:c>
    </x:row>
    <x:row r="10" ht="15" hidden="0" customHeight="1">
      <x:c r="A10" s="22" t="str">
        <x:v>STU0009</x:v>
      </x:c>
      <x:c r="B10" s="23" t="n">
        <x:f>SUM(Results!G90:G93)</x:f>
        <x:v>65.2</x:v>
      </x:c>
      <x:c r="C10" s="23" t="n">
        <x:f>SUM(Results!G94:G96)</x:f>
        <x:v>68.7</x:v>
      </x:c>
      <x:c r="D10" s="23" t="n">
        <x:f>SUM(Results!G97:G100)</x:f>
        <x:v>71.4</x:v>
      </x:c>
      <x:c r="E10" s="23" t="n">
        <x:f>AVERAGE(B10:D10)</x:f>
        <x:v>68.43333333333334</x:v>
      </x:c>
      <x:c r="F10" s="25" t="str">
        <x:f>IF(E10&gt;=80,"HD/D range",IF(E10&gt;=70,"D range",IF(E10&gt;=60,"C range",IF(E10&gt;=50,"P range","At risk"))))</x:f>
        <x:v>C range</x:v>
      </x:c>
    </x:row>
    <x:row r="11" ht="15" hidden="0" customHeight="1">
      <x:c r="A11" s="22" t="str">
        <x:v>STU0010</x:v>
      </x:c>
      <x:c r="B11" s="23" t="n">
        <x:f>SUM(Results!G101:G104)</x:f>
        <x:v>67.1</x:v>
      </x:c>
      <x:c r="C11" s="23" t="n">
        <x:f>SUM(Results!G105:G107)</x:f>
        <x:v>66.4</x:v>
      </x:c>
      <x:c r="D11" s="23" t="n">
        <x:f>SUM(Results!G108:G111)</x:f>
        <x:v>66.05</x:v>
      </x:c>
      <x:c r="E11" s="23" t="n">
        <x:f>AVERAGE(B11:D11)</x:f>
        <x:v>66.51666666666667</x:v>
      </x:c>
      <x:c r="F11" s="25" t="str">
        <x:f>IF(E11&gt;=80,"HD/D range",IF(E11&gt;=70,"D range",IF(E11&gt;=60,"C range",IF(E11&gt;=50,"P range","At risk"))))</x:f>
        <x:v>C range</x:v>
      </x:c>
    </x:row>
    <x:row r="12" ht="15" hidden="0" customHeight="1">
      <x:c r="A12" s="22" t="str">
        <x:v>STU0011</x:v>
      </x:c>
      <x:c r="B12" s="23" t="n">
        <x:f>SUM(Results!G112:G115)</x:f>
        <x:v>52.05</x:v>
      </x:c>
      <x:c r="C12" s="23" t="n">
        <x:f>SUM(Results!G116:G118)</x:f>
        <x:v>55.7</x:v>
      </x:c>
      <x:c r="D12" s="23" t="n">
        <x:f>SUM(Results!G119:G122)</x:f>
        <x:v>55.8</x:v>
      </x:c>
      <x:c r="E12" s="23" t="n">
        <x:f>AVERAGE(B12:D12)</x:f>
        <x:v>54.51666666666667</x:v>
      </x:c>
      <x:c r="F12" s="25" t="str">
        <x:f>IF(E12&gt;=80,"HD/D range",IF(E12&gt;=70,"D range",IF(E12&gt;=60,"C range",IF(E12&gt;=50,"P range","At risk"))))</x:f>
        <x:v>P range</x:v>
      </x:c>
    </x:row>
    <x:row r="13" ht="15" hidden="0" customHeight="1">
      <x:c r="A13" s="22" t="str">
        <x:v>STU0012</x:v>
      </x:c>
      <x:c r="B13" s="23" t="n">
        <x:f>SUM(Results!G123:G126)</x:f>
        <x:v>63.60000000000001</x:v>
      </x:c>
      <x:c r="C13" s="23" t="n">
        <x:f>SUM(Results!G127:G129)</x:f>
        <x:v>70.2</x:v>
      </x:c>
      <x:c r="D13" s="23" t="n">
        <x:f>SUM(Results!G130:G133)</x:f>
        <x:v>61.75</x:v>
      </x:c>
      <x:c r="E13" s="23" t="n">
        <x:f>AVERAGE(B13:D13)</x:f>
        <x:v>65.18333333333334</x:v>
      </x:c>
      <x:c r="F13" s="25" t="str">
        <x:f>IF(E13&gt;=80,"HD/D range",IF(E13&gt;=70,"D range",IF(E13&gt;=60,"C range",IF(E13&gt;=50,"P range","At risk"))))</x:f>
        <x:v>C range</x:v>
      </x:c>
    </x:row>
    <x:row r="14" ht="15" hidden="0" customHeight="1">
      <x:c r="A14" s="22" t="str">
        <x:v>STU0013</x:v>
      </x:c>
      <x:c r="B14" s="23" t="n">
        <x:f>SUM(Results!G134:G137)</x:f>
        <x:v>67.45</x:v>
      </x:c>
      <x:c r="C14" s="23" t="n">
        <x:f>SUM(Results!G138:G140)</x:f>
        <x:v>61.9</x:v>
      </x:c>
      <x:c r="D14" s="23" t="n">
        <x:f>SUM(Results!G141:G144)</x:f>
        <x:v>59.400000000000006</x:v>
      </x:c>
      <x:c r="E14" s="23" t="n">
        <x:f>AVERAGE(B14:D14)</x:f>
        <x:v>62.916666666666664</x:v>
      </x:c>
      <x:c r="F14" s="25" t="str">
        <x:f>IF(E14&gt;=80,"HD/D range",IF(E14&gt;=70,"D range",IF(E14&gt;=60,"C range",IF(E14&gt;=50,"P range","At risk"))))</x:f>
        <x:v>C range</x:v>
      </x:c>
    </x:row>
    <x:row r="15" ht="15" hidden="0" customHeight="1">
      <x:c r="A15" s="22" t="str">
        <x:v>STU0014</x:v>
      </x:c>
      <x:c r="B15" s="23" t="n">
        <x:f>SUM(Results!G145:G148)</x:f>
        <x:v>85.5</x:v>
      </x:c>
      <x:c r="C15" s="23" t="n">
        <x:f>SUM(Results!G149:G151)</x:f>
        <x:v>77.4</x:v>
      </x:c>
      <x:c r="D15" s="23" t="n">
        <x:f>SUM(Results!G152:G155)</x:f>
        <x:v>79.85</x:v>
      </x:c>
      <x:c r="E15" s="23" t="n">
        <x:f>AVERAGE(B15:D15)</x:f>
        <x:v>80.91666666666667</x:v>
      </x:c>
      <x:c r="F15" s="25" t="str">
        <x:f>IF(E15&gt;=80,"HD/D range",IF(E15&gt;=70,"D range",IF(E15&gt;=60,"C range",IF(E15&gt;=50,"P range","At risk"))))</x:f>
        <x:v>HD/D range</x:v>
      </x:c>
    </x:row>
    <x:row r="16" ht="15" hidden="0" customHeight="1">
      <x:c r="A16" s="22" t="str">
        <x:v>STU0015</x:v>
      </x:c>
      <x:c r="B16" s="23" t="n">
        <x:f>SUM(Results!G156:G159)</x:f>
        <x:v>52.25</x:v>
      </x:c>
      <x:c r="C16" s="23" t="n">
        <x:f>SUM(Results!G160:G162)</x:f>
        <x:v>57.2</x:v>
      </x:c>
      <x:c r="D16" s="23" t="n">
        <x:f>SUM(Results!G163:G166)</x:f>
        <x:v>54.65</x:v>
      </x:c>
      <x:c r="E16" s="23" t="n">
        <x:f>AVERAGE(B16:D16)</x:f>
        <x:v>54.699999999999996</x:v>
      </x:c>
      <x:c r="F16" s="25" t="str">
        <x:f>IF(E16&gt;=80,"HD/D range",IF(E16&gt;=70,"D range",IF(E16&gt;=60,"C range",IF(E16&gt;=50,"P range","At risk"))))</x:f>
        <x:v>P range</x:v>
      </x:c>
    </x:row>
    <x:row r="17" ht="15" hidden="0" customHeight="1">
      <x:c r="A17" s="22" t="str">
        <x:v>STU0016</x:v>
      </x:c>
      <x:c r="B17" s="23" t="n">
        <x:f>SUM(Results!G167:G170)</x:f>
        <x:v>63.099999999999994</x:v>
      </x:c>
      <x:c r="C17" s="23" t="n">
        <x:f>SUM(Results!G171:G173)</x:f>
        <x:v>66.6</x:v>
      </x:c>
      <x:c r="D17" s="23" t="n">
        <x:f>SUM(Results!G174:G177)</x:f>
        <x:v>60.3</x:v>
      </x:c>
      <x:c r="E17" s="23" t="n">
        <x:f>AVERAGE(B17:D17)</x:f>
        <x:v>63.333333333333336</x:v>
      </x:c>
      <x:c r="F17" s="25" t="str">
        <x:f>IF(E17&gt;=80,"HD/D range",IF(E17&gt;=70,"D range",IF(E17&gt;=60,"C range",IF(E17&gt;=50,"P range","At risk"))))</x:f>
        <x:v>C range</x:v>
      </x:c>
    </x:row>
    <x:row r="18" ht="15" hidden="0" customHeight="1">
      <x:c r="A18" s="22" t="str">
        <x:v>STU0017</x:v>
      </x:c>
      <x:c r="B18" s="23" t="n">
        <x:f>SUM(Results!G178:G181)</x:f>
        <x:v>66.15</x:v>
      </x:c>
      <x:c r="C18" s="23" t="n">
        <x:f>SUM(Results!G182:G184)</x:f>
        <x:v>59.1</x:v>
      </x:c>
      <x:c r="D18" s="23" t="n">
        <x:f>SUM(Results!G185:G188)</x:f>
        <x:v>59.150000000000006</x:v>
      </x:c>
      <x:c r="E18" s="23" t="n">
        <x:f>AVERAGE(B18:D18)</x:f>
        <x:v>61.46666666666667</x:v>
      </x:c>
      <x:c r="F18" s="25" t="str">
        <x:f>IF(E18&gt;=80,"HD/D range",IF(E18&gt;=70,"D range",IF(E18&gt;=60,"C range",IF(E18&gt;=50,"P range","At risk"))))</x:f>
        <x:v>C range</x:v>
      </x:c>
    </x:row>
    <x:row r="19" ht="15" hidden="0" customHeight="1">
      <x:c r="A19" s="22" t="str">
        <x:v>STU0018</x:v>
      </x:c>
      <x:c r="B19" s="23" t="n">
        <x:f>SUM(Results!G189:G192)</x:f>
        <x:v>61.550000000000004</x:v>
      </x:c>
      <x:c r="C19" s="23" t="n">
        <x:f>SUM(Results!G193:G195)</x:f>
        <x:v>59.400000000000006</x:v>
      </x:c>
      <x:c r="D19" s="23" t="n">
        <x:f>SUM(Results!G196:G199)</x:f>
        <x:v>60.55</x:v>
      </x:c>
      <x:c r="E19" s="23" t="n">
        <x:f>AVERAGE(B19:D19)</x:f>
        <x:v>60.5</x:v>
      </x:c>
      <x:c r="F19" s="25" t="str">
        <x:f>IF(E19&gt;=80,"HD/D range",IF(E19&gt;=70,"D range",IF(E19&gt;=60,"C range",IF(E19&gt;=50,"P range","At risk"))))</x:f>
        <x:v>C range</x:v>
      </x:c>
    </x:row>
    <x:row r="20" ht="15" hidden="0" customHeight="1">
      <x:c r="A20" s="22" t="str">
        <x:v>STU0019</x:v>
      </x:c>
      <x:c r="B20" s="23" t="n">
        <x:f>SUM(Results!G200:G203)</x:f>
        <x:v>70.65</x:v>
      </x:c>
      <x:c r="C20" s="23" t="n">
        <x:f>SUM(Results!G204:G206)</x:f>
        <x:v>69.4</x:v>
      </x:c>
      <x:c r="D20" s="23" t="n">
        <x:f>SUM(Results!G207:G210)</x:f>
        <x:v>68.9</x:v>
      </x:c>
      <x:c r="E20" s="23" t="n">
        <x:f>AVERAGE(B20:D20)</x:f>
        <x:v>69.65</x:v>
      </x:c>
      <x:c r="F20" s="25" t="str">
        <x:f>IF(E20&gt;=80,"HD/D range",IF(E20&gt;=70,"D range",IF(E20&gt;=60,"C range",IF(E20&gt;=50,"P range","At risk"))))</x:f>
        <x:v>C range</x:v>
      </x:c>
    </x:row>
    <x:row r="21" ht="15" hidden="0" customHeight="1">
      <x:c r="A21" s="22" t="str">
        <x:v>STU0020</x:v>
      </x:c>
      <x:c r="B21" s="23" t="n">
        <x:f>SUM(Results!G211:G214)</x:f>
        <x:v>79</x:v>
      </x:c>
      <x:c r="C21" s="23" t="n">
        <x:f>SUM(Results!G215:G217)</x:f>
        <x:v>81.5</x:v>
      </x:c>
      <x:c r="D21" s="23" t="n">
        <x:f>SUM(Results!G218:G221)</x:f>
        <x:v>80.4</x:v>
      </x:c>
      <x:c r="E21" s="23" t="n">
        <x:f>AVERAGE(B21:D21)</x:f>
        <x:v>80.3</x:v>
      </x:c>
      <x:c r="F21" s="25" t="str">
        <x:f>IF(E21&gt;=80,"HD/D range",IF(E21&gt;=70,"D range",IF(E21&gt;=60,"C range",IF(E21&gt;=50,"P range","At risk"))))</x:f>
        <x:v>HD/D range</x:v>
      </x:c>
    </x:row>
    <x:row r="22" ht="15" hidden="0" customHeight="1">
      <x:c r="A22" s="22" t="str">
        <x:v>STU0021</x:v>
      </x:c>
      <x:c r="B22" s="23" t="n">
        <x:f>SUM(Results!G222:G225)</x:f>
        <x:v>73.5</x:v>
      </x:c>
      <x:c r="C22" s="23" t="n">
        <x:f>SUM(Results!G226:G228)</x:f>
        <x:v>70</x:v>
      </x:c>
      <x:c r="D22" s="23" t="n">
        <x:f>SUM(Results!G229:G232)</x:f>
        <x:v>70.5</x:v>
      </x:c>
      <x:c r="E22" s="23" t="n">
        <x:f>AVERAGE(B22:D22)</x:f>
        <x:v>71.33333333333333</x:v>
      </x:c>
      <x:c r="F22" s="25" t="str">
        <x:f>IF(E22&gt;=80,"HD/D range",IF(E22&gt;=70,"D range",IF(E22&gt;=60,"C range",IF(E22&gt;=50,"P range","At risk"))))</x:f>
        <x:v>D range</x:v>
      </x:c>
    </x:row>
    <x:row r="23" ht="15" hidden="0" customHeight="1">
      <x:c r="A23" s="22" t="str">
        <x:v>STU0022</x:v>
      </x:c>
      <x:c r="B23" s="23" t="n">
        <x:f>SUM(Results!G233:G236)</x:f>
        <x:v>73.45</x:v>
      </x:c>
      <x:c r="C23" s="23" t="n">
        <x:f>SUM(Results!G237:G239)</x:f>
        <x:v>71</x:v>
      </x:c>
      <x:c r="D23" s="23" t="n">
        <x:f>SUM(Results!G240:G243)</x:f>
        <x:v>77.05</x:v>
      </x:c>
      <x:c r="E23" s="23" t="n">
        <x:f>AVERAGE(B23:D23)</x:f>
        <x:v>73.83333333333333</x:v>
      </x:c>
      <x:c r="F23" s="25" t="str">
        <x:f>IF(E23&gt;=80,"HD/D range",IF(E23&gt;=70,"D range",IF(E23&gt;=60,"C range",IF(E23&gt;=50,"P range","At risk"))))</x:f>
        <x:v>D range</x:v>
      </x:c>
    </x:row>
    <x:row r="24" ht="15" hidden="0" customHeight="1">
      <x:c r="A24" s="22" t="str">
        <x:v>STU0023</x:v>
      </x:c>
      <x:c r="B24" s="23" t="n">
        <x:f>SUM(Results!G244:G247)</x:f>
        <x:v>66.05</x:v>
      </x:c>
      <x:c r="C24" s="23" t="n">
        <x:f>SUM(Results!G248:G250)</x:f>
        <x:v>60.5</x:v>
      </x:c>
      <x:c r="D24" s="23" t="n">
        <x:f>SUM(Results!G251:G254)</x:f>
        <x:v>61.5</x:v>
      </x:c>
      <x:c r="E24" s="23" t="n">
        <x:f>AVERAGE(B24:D24)</x:f>
        <x:v>62.68333333333334</x:v>
      </x:c>
      <x:c r="F24" s="25" t="str">
        <x:f>IF(E24&gt;=80,"HD/D range",IF(E24&gt;=70,"D range",IF(E24&gt;=60,"C range",IF(E24&gt;=50,"P range","At risk"))))</x:f>
        <x:v>C range</x:v>
      </x:c>
    </x:row>
    <x:row r="25" ht="15" hidden="0" customHeight="1">
      <x:c r="A25" s="22" t="str">
        <x:v>STU0024</x:v>
      </x:c>
      <x:c r="B25" s="23" t="n">
        <x:f>SUM(Results!G255:G258)</x:f>
        <x:v>70.4</x:v>
      </x:c>
      <x:c r="C25" s="23" t="n">
        <x:f>SUM(Results!G259:G261)</x:f>
        <x:v>71</x:v>
      </x:c>
      <x:c r="D25" s="23" t="n">
        <x:f>SUM(Results!G262:G265)</x:f>
        <x:v>76.7</x:v>
      </x:c>
      <x:c r="E25" s="23" t="n">
        <x:f>AVERAGE(B25:D25)</x:f>
        <x:v>72.7</x:v>
      </x:c>
      <x:c r="F25" s="25" t="str">
        <x:f>IF(E25&gt;=80,"HD/D range",IF(E25&gt;=70,"D range",IF(E25&gt;=60,"C range",IF(E25&gt;=50,"P range","At risk"))))</x:f>
        <x:v>D range</x:v>
      </x:c>
    </x:row>
    <x:row r="26" ht="15" hidden="0" customHeight="1">
      <x:c r="A26" s="22" t="str">
        <x:v>STU0025</x:v>
      </x:c>
      <x:c r="B26" s="23" t="n">
        <x:f>SUM(Results!G266:G269)</x:f>
        <x:v>81.45</x:v>
      </x:c>
      <x:c r="C26" s="23" t="n">
        <x:f>SUM(Results!G270:G272)</x:f>
        <x:v>83.2</x:v>
      </x:c>
      <x:c r="D26" s="23" t="n">
        <x:f>SUM(Results!G273:G276)</x:f>
        <x:v>83.14999999999999</x:v>
      </x:c>
      <x:c r="E26" s="23" t="n">
        <x:f>AVERAGE(B26:D26)</x:f>
        <x:v>82.60000000000001</x:v>
      </x:c>
      <x:c r="F26" s="25" t="str">
        <x:f>IF(E26&gt;=80,"HD/D range",IF(E26&gt;=70,"D range",IF(E26&gt;=60,"C range",IF(E26&gt;=50,"P range","At risk"))))</x:f>
        <x:v>HD/D range</x:v>
      </x:c>
    </x:row>
    <x:row r="27" ht="15" hidden="0" customHeight="1">
      <x:c r="A27" s="22" t="str">
        <x:v>STU0026</x:v>
      </x:c>
      <x:c r="B27" s="23" t="n">
        <x:f>SUM(Results!G277:G280)</x:f>
        <x:v>78.30000000000001</x:v>
      </x:c>
      <x:c r="C27" s="23" t="n">
        <x:f>SUM(Results!G281:G283)</x:f>
        <x:v>79.3</x:v>
      </x:c>
      <x:c r="D27" s="23" t="n">
        <x:f>SUM(Results!G284:G287)</x:f>
        <x:v>80.05</x:v>
      </x:c>
      <x:c r="E27" s="23" t="n">
        <x:f>AVERAGE(B27:D27)</x:f>
        <x:v>79.21666666666668</x:v>
      </x:c>
      <x:c r="F27" s="25" t="str">
        <x:f>IF(E27&gt;=80,"HD/D range",IF(E27&gt;=70,"D range",IF(E27&gt;=60,"C range",IF(E27&gt;=50,"P range","At risk"))))</x:f>
        <x:v>D range</x:v>
      </x:c>
    </x:row>
    <x:row r="28" ht="15" hidden="0" customHeight="1">
      <x:c r="A28" s="22" t="str">
        <x:v>STU0027</x:v>
      </x:c>
      <x:c r="B28" s="23" t="n">
        <x:f>SUM(Results!G288:G291)</x:f>
        <x:v>73.5</x:v>
      </x:c>
      <x:c r="C28" s="23" t="n">
        <x:f>SUM(Results!G292:G294)</x:f>
        <x:v>71</x:v>
      </x:c>
      <x:c r="D28" s="23" t="n">
        <x:f>SUM(Results!G295:G298)</x:f>
        <x:v>71.3</x:v>
      </x:c>
      <x:c r="E28" s="23" t="n">
        <x:f>AVERAGE(B28:D28)</x:f>
        <x:v>71.93333333333334</x:v>
      </x:c>
      <x:c r="F28" s="25" t="str">
        <x:f>IF(E28&gt;=80,"HD/D range",IF(E28&gt;=70,"D range",IF(E28&gt;=60,"C range",IF(E28&gt;=50,"P range","At risk"))))</x:f>
        <x:v>D range</x:v>
      </x:c>
    </x:row>
    <x:row r="29" ht="15" hidden="0" customHeight="1">
      <x:c r="A29" s="22" t="str">
        <x:v>STU0028</x:v>
      </x:c>
      <x:c r="B29" s="23" t="n">
        <x:f>SUM(Results!G299:G302)</x:f>
        <x:v>72.45</x:v>
      </x:c>
      <x:c r="C29" s="23" t="n">
        <x:f>SUM(Results!G303:G305)</x:f>
        <x:v>76.2</x:v>
      </x:c>
      <x:c r="D29" s="23" t="n">
        <x:f>SUM(Results!G306:G309)</x:f>
        <x:v>69.5</x:v>
      </x:c>
      <x:c r="E29" s="23" t="n">
        <x:f>AVERAGE(B29:D29)</x:f>
        <x:v>72.71666666666667</x:v>
      </x:c>
      <x:c r="F29" s="25" t="str">
        <x:f>IF(E29&gt;=80,"HD/D range",IF(E29&gt;=70,"D range",IF(E29&gt;=60,"C range",IF(E29&gt;=50,"P range","At risk"))))</x:f>
        <x:v>D range</x:v>
      </x:c>
    </x:row>
    <x:row r="30" ht="15" hidden="0" customHeight="1">
      <x:c r="A30" s="22" t="str">
        <x:v>STU0029</x:v>
      </x:c>
      <x:c r="B30" s="23" t="n">
        <x:f>SUM(Results!G310:G313)</x:f>
        <x:v>59.1</x:v>
      </x:c>
      <x:c r="C30" s="23" t="n">
        <x:f>SUM(Results!G314:G316)</x:f>
        <x:v>59.5</x:v>
      </x:c>
      <x:c r="D30" s="23" t="n">
        <x:f>SUM(Results!G317:G320)</x:f>
        <x:v>59.45</x:v>
      </x:c>
      <x:c r="E30" s="23" t="n">
        <x:f>AVERAGE(B30:D30)</x:f>
        <x:v>59.35</x:v>
      </x:c>
      <x:c r="F30" s="25" t="str">
        <x:f>IF(E30&gt;=80,"HD/D range",IF(E30&gt;=70,"D range",IF(E30&gt;=60,"C range",IF(E30&gt;=50,"P range","At risk"))))</x:f>
        <x:v>P range</x:v>
      </x:c>
    </x:row>
    <x:row r="31" ht="15" hidden="0" customHeight="1">
      <x:c r="A31" s="22" t="str">
        <x:v>STU0030</x:v>
      </x:c>
      <x:c r="B31" s="23" t="n">
        <x:f>SUM(Results!G321:G324)</x:f>
        <x:v>64.15</x:v>
      </x:c>
      <x:c r="C31" s="23" t="n">
        <x:f>SUM(Results!G325:G327)</x:f>
        <x:v>63.900000000000006</x:v>
      </x:c>
      <x:c r="D31" s="23" t="n">
        <x:f>SUM(Results!G328:G331)</x:f>
        <x:v>65.25</x:v>
      </x:c>
      <x:c r="E31" s="23" t="n">
        <x:f>AVERAGE(B31:D31)</x:f>
        <x:v>64.43333333333334</x:v>
      </x:c>
      <x:c r="F31" s="25" t="str">
        <x:f>IF(E31&gt;=80,"HD/D range",IF(E31&gt;=70,"D range",IF(E31&gt;=60,"C range",IF(E31&gt;=50,"P range","At risk"))))</x:f>
        <x:v>C range</x:v>
      </x:c>
    </x:row>
    <x:row r="32" ht="15" hidden="0" customHeight="1">
      <x:c r="A32" s="22" t="str">
        <x:v>STU0031</x:v>
      </x:c>
      <x:c r="B32" s="23" t="n">
        <x:f>SUM(Results!G332:G335)</x:f>
        <x:v>77.9</x:v>
      </x:c>
      <x:c r="C32" s="23" t="n">
        <x:f>SUM(Results!G336:G338)</x:f>
        <x:v>87.3</x:v>
      </x:c>
      <x:c r="D32" s="23" t="n">
        <x:f>SUM(Results!G339:G342)</x:f>
        <x:v>85.7</x:v>
      </x:c>
      <x:c r="E32" s="23" t="n">
        <x:f>AVERAGE(B32:D32)</x:f>
        <x:v>83.63333333333333</x:v>
      </x:c>
      <x:c r="F32" s="25" t="str">
        <x:f>IF(E32&gt;=80,"HD/D range",IF(E32&gt;=70,"D range",IF(E32&gt;=60,"C range",IF(E32&gt;=50,"P range","At risk"))))</x:f>
        <x:v>HD/D range</x:v>
      </x:c>
    </x:row>
    <x:row r="33" ht="15" hidden="0" customHeight="1">
      <x:c r="A33" s="22" t="str">
        <x:v>STU0032</x:v>
      </x:c>
      <x:c r="B33" s="23" t="n">
        <x:f>SUM(Results!G343:G346)</x:f>
        <x:v>60.7</x:v>
      </x:c>
      <x:c r="C33" s="23" t="n">
        <x:f>SUM(Results!G347:G349)</x:f>
        <x:v>63.099999999999994</x:v>
      </x:c>
      <x:c r="D33" s="23" t="n">
        <x:f>SUM(Results!G350:G353)</x:f>
        <x:v>65.5</x:v>
      </x:c>
      <x:c r="E33" s="23" t="n">
        <x:f>AVERAGE(B33:D33)</x:f>
        <x:v>63.1</x:v>
      </x:c>
      <x:c r="F33" s="25" t="str">
        <x:f>IF(E33&gt;=80,"HD/D range",IF(E33&gt;=70,"D range",IF(E33&gt;=60,"C range",IF(E33&gt;=50,"P range","At risk"))))</x:f>
        <x:v>C range</x:v>
      </x:c>
    </x:row>
    <x:row r="34" ht="15" hidden="0" customHeight="1">
      <x:c r="A34" s="22" t="str">
        <x:v>STU0033</x:v>
      </x:c>
      <x:c r="B34" s="23" t="n">
        <x:f>SUM(Results!G354:G357)</x:f>
        <x:v>82</x:v>
      </x:c>
      <x:c r="C34" s="23" t="n">
        <x:f>SUM(Results!G358:G360)</x:f>
        <x:v>81.6</x:v>
      </x:c>
      <x:c r="D34" s="23" t="n">
        <x:f>SUM(Results!G361:G364)</x:f>
        <x:v>82.3</x:v>
      </x:c>
      <x:c r="E34" s="23" t="n">
        <x:f>AVERAGE(B34:D34)</x:f>
        <x:v>81.96666666666665</x:v>
      </x:c>
      <x:c r="F34" s="25" t="str">
        <x:f>IF(E34&gt;=80,"HD/D range",IF(E34&gt;=70,"D range",IF(E34&gt;=60,"C range",IF(E34&gt;=50,"P range","At risk"))))</x:f>
        <x:v>HD/D range</x:v>
      </x:c>
    </x:row>
    <x:row r="35" ht="15" hidden="0" customHeight="1">
      <x:c r="A35" s="22" t="str">
        <x:v>STU0034</x:v>
      </x:c>
      <x:c r="B35" s="23" t="n">
        <x:f>SUM(Results!G365:G368)</x:f>
        <x:v>72.35</x:v>
      </x:c>
      <x:c r="C35" s="23" t="n">
        <x:f>SUM(Results!G369:G371)</x:f>
        <x:v>68</x:v>
      </x:c>
      <x:c r="D35" s="23" t="n">
        <x:f>SUM(Results!G372:G375)</x:f>
        <x:v>65.35</x:v>
      </x:c>
      <x:c r="E35" s="23" t="n">
        <x:f>AVERAGE(B35:D35)</x:f>
        <x:v>68.56666666666666</x:v>
      </x:c>
      <x:c r="F35" s="25" t="str">
        <x:f>IF(E35&gt;=80,"HD/D range",IF(E35&gt;=70,"D range",IF(E35&gt;=60,"C range",IF(E35&gt;=50,"P range","At risk"))))</x:f>
        <x:v>C range</x:v>
      </x:c>
    </x:row>
    <x:row r="36" ht="15" hidden="0" customHeight="1">
      <x:c r="A36" s="22" t="str">
        <x:v>STU0035</x:v>
      </x:c>
      <x:c r="B36" s="23" t="n">
        <x:f>SUM(Results!G376:G379)</x:f>
        <x:v>58.550000000000004</x:v>
      </x:c>
      <x:c r="C36" s="23" t="n">
        <x:f>SUM(Results!G380:G382)</x:f>
        <x:v>56.9</x:v>
      </x:c>
      <x:c r="D36" s="23" t="n">
        <x:f>SUM(Results!G383:G386)</x:f>
        <x:v>51.849999999999994</x:v>
      </x:c>
      <x:c r="E36" s="23" t="n">
        <x:f>AVERAGE(B36:D36)</x:f>
        <x:v>55.76666666666667</x:v>
      </x:c>
      <x:c r="F36" s="25" t="str">
        <x:f>IF(E36&gt;=80,"HD/D range",IF(E36&gt;=70,"D range",IF(E36&gt;=60,"C range",IF(E36&gt;=50,"P range","At risk"))))</x:f>
        <x:v>P range</x:v>
      </x:c>
    </x:row>
    <x:row r="37" ht="15" hidden="0" customHeight="1">
      <x:c r="A37" s="22" t="str">
        <x:v>STU0036</x:v>
      </x:c>
      <x:c r="B37" s="23" t="n">
        <x:f>SUM(Results!G387:G390)</x:f>
        <x:v>57.7</x:v>
      </x:c>
      <x:c r="C37" s="23" t="n">
        <x:f>SUM(Results!G391:G393)</x:f>
        <x:v>64.3</x:v>
      </x:c>
      <x:c r="D37" s="23" t="n">
        <x:f>SUM(Results!G394:G397)</x:f>
        <x:v>59.95</x:v>
      </x:c>
      <x:c r="E37" s="23" t="n">
        <x:f>AVERAGE(B37:D37)</x:f>
        <x:v>60.65</x:v>
      </x:c>
      <x:c r="F37" s="25" t="str">
        <x:f>IF(E37&gt;=80,"HD/D range",IF(E37&gt;=70,"D range",IF(E37&gt;=60,"C range",IF(E37&gt;=50,"P range","At risk"))))</x:f>
        <x:v>C range</x:v>
      </x:c>
    </x:row>
    <x:row r="38" ht="15" hidden="0" customHeight="1">
      <x:c r="A38" s="22" t="str">
        <x:v>STU0037</x:v>
      </x:c>
      <x:c r="B38" s="23" t="n">
        <x:f>SUM(Results!G398:G401)</x:f>
        <x:v>54.35</x:v>
      </x:c>
      <x:c r="C38" s="23" t="n">
        <x:f>SUM(Results!G402:G404)</x:f>
        <x:v>51.4</x:v>
      </x:c>
      <x:c r="D38" s="23" t="n">
        <x:f>SUM(Results!G405:G408)</x:f>
        <x:v>50.7</x:v>
      </x:c>
      <x:c r="E38" s="23" t="n">
        <x:f>AVERAGE(B38:D38)</x:f>
        <x:v>52.15</x:v>
      </x:c>
      <x:c r="F38" s="25" t="str">
        <x:f>IF(E38&gt;=80,"HD/D range",IF(E38&gt;=70,"D range",IF(E38&gt;=60,"C range",IF(E38&gt;=50,"P range","At risk"))))</x:f>
        <x:v>P range</x:v>
      </x:c>
    </x:row>
    <x:row r="39" ht="15" hidden="0" customHeight="1">
      <x:c r="A39" s="22" t="str">
        <x:v>STU0038</x:v>
      </x:c>
      <x:c r="B39" s="23" t="n">
        <x:f>SUM(Results!G409:G412)</x:f>
        <x:v>62.35</x:v>
      </x:c>
      <x:c r="C39" s="23" t="n">
        <x:f>SUM(Results!G413:G415)</x:f>
        <x:v>63</x:v>
      </x:c>
      <x:c r="D39" s="23" t="n">
        <x:f>SUM(Results!G416:G419)</x:f>
        <x:v>57.75</x:v>
      </x:c>
      <x:c r="E39" s="23" t="n">
        <x:f>AVERAGE(B39:D39)</x:f>
        <x:v>61.03333333333333</x:v>
      </x:c>
      <x:c r="F39" s="25" t="str">
        <x:f>IF(E39&gt;=80,"HD/D range",IF(E39&gt;=70,"D range",IF(E39&gt;=60,"C range",IF(E39&gt;=50,"P range","At risk"))))</x:f>
        <x:v>C range</x:v>
      </x:c>
    </x:row>
    <x:row r="40" ht="15" hidden="0" customHeight="1">
      <x:c r="A40" s="22" t="str">
        <x:v>STU0039</x:v>
      </x:c>
      <x:c r="B40" s="23" t="n">
        <x:f>SUM(Results!G420:G423)</x:f>
        <x:v>61</x:v>
      </x:c>
      <x:c r="C40" s="23" t="n">
        <x:f>SUM(Results!G424:G426)</x:f>
        <x:v>59.5</x:v>
      </x:c>
      <x:c r="D40" s="23" t="n">
        <x:f>SUM(Results!G427:G430)</x:f>
        <x:v>62.199999999999996</x:v>
      </x:c>
      <x:c r="E40" s="23" t="n">
        <x:f>AVERAGE(B40:D40)</x:f>
        <x:v>60.9</x:v>
      </x:c>
      <x:c r="F40" s="25" t="str">
        <x:f>IF(E40&gt;=80,"HD/D range",IF(E40&gt;=70,"D range",IF(E40&gt;=60,"C range",IF(E40&gt;=50,"P range","At risk"))))</x:f>
        <x:v>C range</x:v>
      </x:c>
    </x:row>
    <x:row r="41" ht="15" hidden="0" customHeight="1">
      <x:c r="A41" s="22" t="str">
        <x:v>STU0040</x:v>
      </x:c>
      <x:c r="B41" s="23" t="n">
        <x:f>SUM(Results!G431:G434)</x:f>
        <x:v>61.85</x:v>
      </x:c>
      <x:c r="C41" s="23" t="n">
        <x:f>SUM(Results!G435:G437)</x:f>
        <x:v>62.9</x:v>
      </x:c>
      <x:c r="D41" s="23" t="n">
        <x:f>SUM(Results!G438:G441)</x:f>
        <x:v>60.699999999999996</x:v>
      </x:c>
      <x:c r="E41" s="23" t="n">
        <x:f>AVERAGE(B41:D41)</x:f>
        <x:v>61.81666666666666</x:v>
      </x:c>
      <x:c r="F41" s="25" t="str">
        <x:f>IF(E41&gt;=80,"HD/D range",IF(E41&gt;=70,"D range",IF(E41&gt;=60,"C range",IF(E41&gt;=50,"P range","At risk"))))</x:f>
        <x:v>C range</x:v>
      </x:c>
    </x:row>
    <x:row r="42" ht="15" hidden="0" customHeight="1">
      <x:c r="A42" s="22" t="str">
        <x:v>STU0041</x:v>
      </x:c>
      <x:c r="B42" s="23" t="n">
        <x:f>SUM(Results!G442:G445)</x:f>
        <x:v>69.1</x:v>
      </x:c>
      <x:c r="C42" s="23" t="n">
        <x:f>SUM(Results!G446:G448)</x:f>
        <x:v>67.4</x:v>
      </x:c>
      <x:c r="D42" s="23" t="n">
        <x:f>SUM(Results!G449:G452)</x:f>
        <x:v>70.8</x:v>
      </x:c>
      <x:c r="E42" s="23" t="n">
        <x:f>AVERAGE(B42:D42)</x:f>
        <x:v>69.10000000000001</x:v>
      </x:c>
      <x:c r="F42" s="25" t="str">
        <x:f>IF(E42&gt;=80,"HD/D range",IF(E42&gt;=70,"D range",IF(E42&gt;=60,"C range",IF(E42&gt;=50,"P range","At risk"))))</x:f>
        <x:v>C range</x:v>
      </x:c>
    </x:row>
    <x:row r="43" ht="15" hidden="0" customHeight="1">
      <x:c r="A43" s="22" t="str">
        <x:v>STU0042</x:v>
      </x:c>
      <x:c r="B43" s="23" t="n">
        <x:f>SUM(Results!G453:G456)</x:f>
        <x:v>67.7</x:v>
      </x:c>
      <x:c r="C43" s="23" t="n">
        <x:f>SUM(Results!G457:G459)</x:f>
        <x:v>67.4</x:v>
      </x:c>
      <x:c r="D43" s="23" t="n">
        <x:f>SUM(Results!G460:G463)</x:f>
        <x:v>71.6</x:v>
      </x:c>
      <x:c r="E43" s="23" t="n">
        <x:f>AVERAGE(B43:D43)</x:f>
        <x:v>68.9</x:v>
      </x:c>
      <x:c r="F43" s="25" t="str">
        <x:f>IF(E43&gt;=80,"HD/D range",IF(E43&gt;=70,"D range",IF(E43&gt;=60,"C range",IF(E43&gt;=50,"P range","At risk"))))</x:f>
        <x:v>C range</x:v>
      </x:c>
    </x:row>
    <x:row r="44" ht="15" hidden="0" customHeight="1">
      <x:c r="A44" s="22" t="str">
        <x:v>STU0043</x:v>
      </x:c>
      <x:c r="B44" s="23" t="n">
        <x:f>SUM(Results!G464:G467)</x:f>
        <x:v>87</x:v>
      </x:c>
      <x:c r="C44" s="23" t="n">
        <x:f>SUM(Results!G468:G470)</x:f>
        <x:v>88.1</x:v>
      </x:c>
      <x:c r="D44" s="23" t="n">
        <x:f>SUM(Results!G471:G474)</x:f>
        <x:v>82.35</x:v>
      </x:c>
      <x:c r="E44" s="23" t="n">
        <x:f>AVERAGE(B44:D44)</x:f>
        <x:v>85.81666666666666</x:v>
      </x:c>
      <x:c r="F44" s="25" t="str">
        <x:f>IF(E44&gt;=80,"HD/D range",IF(E44&gt;=70,"D range",IF(E44&gt;=60,"C range",IF(E44&gt;=50,"P range","At risk"))))</x:f>
        <x:v>HD/D range</x:v>
      </x:c>
    </x:row>
    <x:row r="45" ht="15" hidden="0" customHeight="1">
      <x:c r="A45" s="22" t="str">
        <x:v>STU0044</x:v>
      </x:c>
      <x:c r="B45" s="23" t="n">
        <x:f>SUM(Results!G475:G478)</x:f>
        <x:v>74.55000000000001</x:v>
      </x:c>
      <x:c r="C45" s="23" t="n">
        <x:f>SUM(Results!G479:G481)</x:f>
        <x:v>80.3</x:v>
      </x:c>
      <x:c r="D45" s="23" t="n">
        <x:f>SUM(Results!G482:G485)</x:f>
        <x:v>75.65</x:v>
      </x:c>
      <x:c r="E45" s="23" t="n">
        <x:f>AVERAGE(B45:D45)</x:f>
        <x:v>76.83333333333334</x:v>
      </x:c>
      <x:c r="F45" s="25" t="str">
        <x:f>IF(E45&gt;=80,"HD/D range",IF(E45&gt;=70,"D range",IF(E45&gt;=60,"C range",IF(E45&gt;=50,"P range","At risk"))))</x:f>
        <x:v>D range</x:v>
      </x:c>
    </x:row>
    <x:row r="46" ht="15" hidden="0" customHeight="1">
      <x:c r="A46" s="22" t="str">
        <x:v>STU0045</x:v>
      </x:c>
      <x:c r="B46" s="23" t="n">
        <x:f>SUM(Results!G486:G489)</x:f>
        <x:v>84.05000000000001</x:v>
      </x:c>
      <x:c r="C46" s="23" t="n">
        <x:f>SUM(Results!G490:G492)</x:f>
        <x:v>85</x:v>
      </x:c>
      <x:c r="D46" s="23" t="n">
        <x:f>SUM(Results!G493:G496)</x:f>
        <x:v>86.3</x:v>
      </x:c>
      <x:c r="E46" s="23" t="n">
        <x:f>AVERAGE(B46:D46)</x:f>
        <x:v>85.11666666666667</x:v>
      </x:c>
      <x:c r="F46" s="25" t="str">
        <x:f>IF(E46&gt;=80,"HD/D range",IF(E46&gt;=70,"D range",IF(E46&gt;=60,"C range",IF(E46&gt;=50,"P range","At risk"))))</x:f>
        <x:v>HD/D range</x:v>
      </x:c>
    </x:row>
    <x:row r="47" ht="15" hidden="0" customHeight="1">
      <x:c r="A47" s="22" t="str">
        <x:v>STU0046</x:v>
      </x:c>
      <x:c r="B47" s="23" t="n">
        <x:f>SUM(Results!G497:G500)</x:f>
        <x:v>78.2</x:v>
      </x:c>
      <x:c r="C47" s="23" t="n">
        <x:f>SUM(Results!G501:G503)</x:f>
        <x:v>78.1</x:v>
      </x:c>
      <x:c r="D47" s="23" t="n">
        <x:f>SUM(Results!G504:G507)</x:f>
        <x:v>78.45</x:v>
      </x:c>
      <x:c r="E47" s="23" t="n">
        <x:f>AVERAGE(B47:D47)</x:f>
        <x:v>78.25</x:v>
      </x:c>
      <x:c r="F47" s="25" t="str">
        <x:f>IF(E47&gt;=80,"HD/D range",IF(E47&gt;=70,"D range",IF(E47&gt;=60,"C range",IF(E47&gt;=50,"P range","At risk"))))</x:f>
        <x:v>D range</x:v>
      </x:c>
    </x:row>
    <x:row r="48" ht="15" hidden="0" customHeight="1">
      <x:c r="A48" s="22" t="str">
        <x:v>STU0047</x:v>
      </x:c>
      <x:c r="B48" s="23" t="n">
        <x:f>SUM(Results!G508:G511)</x:f>
        <x:v>70.55</x:v>
      </x:c>
      <x:c r="C48" s="23" t="n">
        <x:f>SUM(Results!G512:G514)</x:f>
        <x:v>73.6</x:v>
      </x:c>
      <x:c r="D48" s="23" t="n">
        <x:f>SUM(Results!G515:G518)</x:f>
        <x:v>71.69999999999999</x:v>
      </x:c>
      <x:c r="E48" s="23" t="n">
        <x:f>AVERAGE(B48:D48)</x:f>
        <x:v>71.94999999999999</x:v>
      </x:c>
      <x:c r="F48" s="25" t="str">
        <x:f>IF(E48&gt;=80,"HD/D range",IF(E48&gt;=70,"D range",IF(E48&gt;=60,"C range",IF(E48&gt;=50,"P range","At risk"))))</x:f>
        <x:v>D range</x:v>
      </x:c>
    </x:row>
    <x:row r="49" ht="15" hidden="0" customHeight="1">
      <x:c r="A49" s="22" t="str">
        <x:v>STU0048</x:v>
      </x:c>
      <x:c r="B49" s="23" t="n">
        <x:f>SUM(Results!G519:G522)</x:f>
        <x:v>77.45</x:v>
      </x:c>
      <x:c r="C49" s="23" t="n">
        <x:f>SUM(Results!G523:G525)</x:f>
        <x:v>73.2</x:v>
      </x:c>
      <x:c r="D49" s="23" t="n">
        <x:f>SUM(Results!G526:G529)</x:f>
        <x:v>77.1</x:v>
      </x:c>
      <x:c r="E49" s="23" t="n">
        <x:f>AVERAGE(B49:D49)</x:f>
        <x:v>75.91666666666667</x:v>
      </x:c>
      <x:c r="F49" s="25" t="str">
        <x:f>IF(E49&gt;=80,"HD/D range",IF(E49&gt;=70,"D range",IF(E49&gt;=60,"C range",IF(E49&gt;=50,"P range","At risk"))))</x:f>
        <x:v>D range</x:v>
      </x:c>
    </x:row>
    <x:row r="50" ht="15" hidden="0" customHeight="1">
      <x:c r="A50" s="22" t="str">
        <x:v>STU0049</x:v>
      </x:c>
      <x:c r="B50" s="23" t="n">
        <x:f>SUM(Results!G530:G533)</x:f>
        <x:v>52.1</x:v>
      </x:c>
      <x:c r="C50" s="23" t="n">
        <x:f>SUM(Results!G534:G536)</x:f>
        <x:v>50.6</x:v>
      </x:c>
      <x:c r="D50" s="23" t="n">
        <x:f>SUM(Results!G537:G540)</x:f>
        <x:v>50.650000000000006</x:v>
      </x:c>
      <x:c r="E50" s="23" t="n">
        <x:f>AVERAGE(B50:D50)</x:f>
        <x:v>51.116666666666674</x:v>
      </x:c>
      <x:c r="F50" s="25" t="str">
        <x:f>IF(E50&gt;=80,"HD/D range",IF(E50&gt;=70,"D range",IF(E50&gt;=60,"C range",IF(E50&gt;=50,"P range","At risk"))))</x:f>
        <x:v>P range</x:v>
      </x:c>
    </x:row>
    <x:row r="51" ht="15" hidden="0" customHeight="1">
      <x:c r="A51" s="22" t="str">
        <x:v>STU0050</x:v>
      </x:c>
      <x:c r="B51" s="23" t="n">
        <x:f>SUM(Results!G541:G544)</x:f>
        <x:v>58.45</x:v>
      </x:c>
      <x:c r="C51" s="23" t="n">
        <x:f>SUM(Results!G545:G547)</x:f>
        <x:v>59.4</x:v>
      </x:c>
      <x:c r="D51" s="23" t="n">
        <x:f>SUM(Results!G548:G551)</x:f>
        <x:v>58.65</x:v>
      </x:c>
      <x:c r="E51" s="23" t="n">
        <x:f>AVERAGE(B51:D51)</x:f>
        <x:v>58.833333333333336</x:v>
      </x:c>
      <x:c r="F51" s="25" t="str">
        <x:f>IF(E51&gt;=80,"HD/D range",IF(E51&gt;=70,"D range",IF(E51&gt;=60,"C range",IF(E51&gt;=50,"P range","At risk"))))</x:f>
        <x:v>P range</x:v>
      </x:c>
    </x:row>
    <x:row r="52" ht="15" hidden="0" customHeight="1">
      <x:c r="A52" s="22" t="str">
        <x:v>STU0051</x:v>
      </x:c>
      <x:c r="B52" s="23" t="n">
        <x:f>SUM(Results!G552:G555)</x:f>
        <x:v>77.15</x:v>
      </x:c>
      <x:c r="C52" s="23" t="n">
        <x:f>SUM(Results!G556:G558)</x:f>
        <x:v>81.6</x:v>
      </x:c>
      <x:c r="D52" s="23" t="n">
        <x:f>SUM(Results!G559:G562)</x:f>
        <x:v>80</x:v>
      </x:c>
      <x:c r="E52" s="23" t="n">
        <x:f>AVERAGE(B52:D52)</x:f>
        <x:v>79.58333333333333</x:v>
      </x:c>
      <x:c r="F52" s="25" t="str">
        <x:f>IF(E52&gt;=80,"HD/D range",IF(E52&gt;=70,"D range",IF(E52&gt;=60,"C range",IF(E52&gt;=50,"P range","At risk"))))</x:f>
        <x:v>D range</x:v>
      </x:c>
    </x:row>
    <x:row r="53" ht="15" hidden="0" customHeight="1">
      <x:c r="A53" s="22" t="str">
        <x:v>STU0052</x:v>
      </x:c>
      <x:c r="B53" s="23" t="n">
        <x:f>SUM(Results!G563:G566)</x:f>
        <x:v>68.35</x:v>
      </x:c>
      <x:c r="C53" s="23" t="n">
        <x:f>SUM(Results!G567:G569)</x:f>
        <x:v>69.7</x:v>
      </x:c>
      <x:c r="D53" s="23" t="n">
        <x:f>SUM(Results!G570:G573)</x:f>
        <x:v>70.9</x:v>
      </x:c>
      <x:c r="E53" s="23" t="n">
        <x:f>AVERAGE(B53:D53)</x:f>
        <x:v>69.65</x:v>
      </x:c>
      <x:c r="F53" s="25" t="str">
        <x:f>IF(E53&gt;=80,"HD/D range",IF(E53&gt;=70,"D range",IF(E53&gt;=60,"C range",IF(E53&gt;=50,"P range","At risk"))))</x:f>
        <x:v>C range</x:v>
      </x:c>
    </x:row>
    <x:row r="54" ht="15" hidden="0" customHeight="1">
      <x:c r="A54" s="22" t="str">
        <x:v>STU0053</x:v>
      </x:c>
      <x:c r="B54" s="23" t="n">
        <x:f>SUM(Results!G574:G577)</x:f>
        <x:v>81.05000000000001</x:v>
      </x:c>
      <x:c r="C54" s="23" t="n">
        <x:f>SUM(Results!G578:G580)</x:f>
        <x:v>78.9</x:v>
      </x:c>
      <x:c r="D54" s="23" t="n">
        <x:f>SUM(Results!G581:G584)</x:f>
        <x:v>77.65</x:v>
      </x:c>
      <x:c r="E54" s="23" t="n">
        <x:f>AVERAGE(B54:D54)</x:f>
        <x:v>79.2</x:v>
      </x:c>
      <x:c r="F54" s="25" t="str">
        <x:f>IF(E54&gt;=80,"HD/D range",IF(E54&gt;=70,"D range",IF(E54&gt;=60,"C range",IF(E54&gt;=50,"P range","At risk"))))</x:f>
        <x:v>D range</x:v>
      </x:c>
    </x:row>
    <x:row r="55" ht="15" hidden="0" customHeight="1">
      <x:c r="A55" s="22" t="str">
        <x:v>STU0054</x:v>
      </x:c>
      <x:c r="B55" s="23" t="n">
        <x:f>SUM(Results!G585:G588)</x:f>
        <x:v>47.75</x:v>
      </x:c>
      <x:c r="C55" s="23" t="n">
        <x:f>SUM(Results!G589:G591)</x:f>
        <x:v>43.2</x:v>
      </x:c>
      <x:c r="D55" s="23" t="n">
        <x:f>SUM(Results!G592:G595)</x:f>
        <x:v>44.85</x:v>
      </x:c>
      <x:c r="E55" s="23" t="n">
        <x:f>AVERAGE(B55:D55)</x:f>
        <x:v>45.26666666666667</x:v>
      </x:c>
      <x:c r="F55" s="25" t="str">
        <x:f>IF(E55&gt;=80,"HD/D range",IF(E55&gt;=70,"D range",IF(E55&gt;=60,"C range",IF(E55&gt;=50,"P range","At risk"))))</x:f>
        <x:v>At risk</x:v>
      </x:c>
    </x:row>
    <x:row r="56" ht="15" hidden="0" customHeight="1">
      <x:c r="A56" s="22" t="str">
        <x:v>STU0055</x:v>
      </x:c>
      <x:c r="B56" s="23" t="n">
        <x:f>SUM(Results!G596:G599)</x:f>
        <x:v>72.85</x:v>
      </x:c>
      <x:c r="C56" s="23" t="n">
        <x:f>SUM(Results!G600:G602)</x:f>
        <x:v>72.8</x:v>
      </x:c>
      <x:c r="D56" s="23" t="n">
        <x:f>SUM(Results!G603:G606)</x:f>
        <x:v>74.9</x:v>
      </x:c>
      <x:c r="E56" s="23" t="n">
        <x:f>AVERAGE(B56:D56)</x:f>
        <x:v>73.51666666666667</x:v>
      </x:c>
      <x:c r="F56" s="25" t="str">
        <x:f>IF(E56&gt;=80,"HD/D range",IF(E56&gt;=70,"D range",IF(E56&gt;=60,"C range",IF(E56&gt;=50,"P range","At risk"))))</x:f>
        <x:v>D range</x:v>
      </x:c>
    </x:row>
    <x:row r="57" ht="15" hidden="0" customHeight="1">
      <x:c r="A57" s="22" t="str">
        <x:v>STU0056</x:v>
      </x:c>
      <x:c r="B57" s="23" t="n">
        <x:f>SUM(Results!G607:G610)</x:f>
        <x:v>78.25</x:v>
      </x:c>
      <x:c r="C57" s="23" t="n">
        <x:f>SUM(Results!G611:G613)</x:f>
        <x:v>82.2</x:v>
      </x:c>
      <x:c r="D57" s="23" t="n">
        <x:f>SUM(Results!G614:G617)</x:f>
        <x:v>81.65</x:v>
      </x:c>
      <x:c r="E57" s="23" t="n">
        <x:f>AVERAGE(B57:D57)</x:f>
        <x:v>80.7</x:v>
      </x:c>
      <x:c r="F57" s="25" t="str">
        <x:f>IF(E57&gt;=80,"HD/D range",IF(E57&gt;=70,"D range",IF(E57&gt;=60,"C range",IF(E57&gt;=50,"P range","At risk"))))</x:f>
        <x:v>HD/D range</x:v>
      </x:c>
    </x:row>
    <x:row r="58" ht="15" hidden="0" customHeight="1">
      <x:c r="A58" s="22" t="str">
        <x:v>STU0057</x:v>
      </x:c>
      <x:c r="B58" s="23" t="n">
        <x:f>SUM(Results!G618:G621)</x:f>
        <x:v>74.80000000000001</x:v>
      </x:c>
      <x:c r="C58" s="23" t="n">
        <x:f>SUM(Results!G622:G624)</x:f>
        <x:v>73.7</x:v>
      </x:c>
      <x:c r="D58" s="23" t="n">
        <x:f>SUM(Results!G625:G628)</x:f>
        <x:v>72.45</x:v>
      </x:c>
      <x:c r="E58" s="23" t="n">
        <x:f>AVERAGE(B58:D58)</x:f>
        <x:v>73.64999999999999</x:v>
      </x:c>
      <x:c r="F58" s="25" t="str">
        <x:f>IF(E58&gt;=80,"HD/D range",IF(E58&gt;=70,"D range",IF(E58&gt;=60,"C range",IF(E58&gt;=50,"P range","At risk"))))</x:f>
        <x:v>D range</x:v>
      </x:c>
    </x:row>
    <x:row r="59" ht="15" hidden="0" customHeight="1">
      <x:c r="A59" s="22" t="str">
        <x:v>STU0058</x:v>
      </x:c>
      <x:c r="B59" s="23" t="n">
        <x:f>SUM(Results!G629:G632)</x:f>
        <x:v>84.9</x:v>
      </x:c>
      <x:c r="C59" s="23" t="n">
        <x:f>SUM(Results!G633:G635)</x:f>
        <x:v>78.9</x:v>
      </x:c>
      <x:c r="D59" s="23" t="n">
        <x:f>SUM(Results!G636:G639)</x:f>
        <x:v>82.1</x:v>
      </x:c>
      <x:c r="E59" s="23" t="n">
        <x:f>AVERAGE(B59:D59)</x:f>
        <x:v>81.96666666666667</x:v>
      </x:c>
      <x:c r="F59" s="25" t="str">
        <x:f>IF(E59&gt;=80,"HD/D range",IF(E59&gt;=70,"D range",IF(E59&gt;=60,"C range",IF(E59&gt;=50,"P range","At risk"))))</x:f>
        <x:v>HD/D range</x:v>
      </x:c>
    </x:row>
    <x:row r="60" ht="15" hidden="0" customHeight="1">
      <x:c r="A60" s="22" t="str">
        <x:v>STU0059</x:v>
      </x:c>
      <x:c r="B60" s="23" t="n">
        <x:f>SUM(Results!G640:G643)</x:f>
        <x:v>61.95</x:v>
      </x:c>
      <x:c r="C60" s="23" t="n">
        <x:f>SUM(Results!G644:G646)</x:f>
        <x:v>53.400000000000006</x:v>
      </x:c>
      <x:c r="D60" s="23" t="n">
        <x:f>SUM(Results!G647:G650)</x:f>
        <x:v>53.25</x:v>
      </x:c>
      <x:c r="E60" s="23" t="n">
        <x:f>AVERAGE(B60:D60)</x:f>
        <x:v>56.20000000000001</x:v>
      </x:c>
      <x:c r="F60" s="25" t="str">
        <x:f>IF(E60&gt;=80,"HD/D range",IF(E60&gt;=70,"D range",IF(E60&gt;=60,"C range",IF(E60&gt;=50,"P range","At risk"))))</x:f>
        <x:v>P range</x:v>
      </x:c>
    </x:row>
    <x:row r="61" ht="15" hidden="0" customHeight="1">
      <x:c r="A61" s="22" t="str">
        <x:v>STU0060</x:v>
      </x:c>
      <x:c r="B61" s="23" t="n">
        <x:f>SUM(Results!G651:G654)</x:f>
        <x:v>69.45</x:v>
      </x:c>
      <x:c r="C61" s="23" t="n">
        <x:f>SUM(Results!G655:G657)</x:f>
        <x:v>66.8</x:v>
      </x:c>
      <x:c r="D61" s="23" t="n">
        <x:f>SUM(Results!G658:G661)</x:f>
        <x:v>69.35</x:v>
      </x:c>
      <x:c r="E61" s="23" t="n">
        <x:f>AVERAGE(B61:D61)</x:f>
        <x:v>68.53333333333333</x:v>
      </x:c>
      <x:c r="F61" s="25" t="str">
        <x:f>IF(E61&gt;=80,"HD/D range",IF(E61&gt;=70,"D range",IF(E61&gt;=60,"C range",IF(E61&gt;=50,"P range","At risk"))))</x:f>
        <x:v>C range</x:v>
      </x:c>
    </x:row>
    <x:row r="62" ht="15" hidden="0" customHeight="1">
      <x:c r="A62" s="22" t="str">
        <x:v>STU0061</x:v>
      </x:c>
      <x:c r="B62" s="23" t="n">
        <x:f>SUM(Results!G662:G665)</x:f>
        <x:v>47.85</x:v>
      </x:c>
      <x:c r="C62" s="23" t="n">
        <x:f>SUM(Results!G666:G668)</x:f>
        <x:v>54</x:v>
      </x:c>
      <x:c r="D62" s="23" t="n">
        <x:f>SUM(Results!G669:G672)</x:f>
        <x:v>48.349999999999994</x:v>
      </x:c>
      <x:c r="E62" s="23" t="n">
        <x:f>AVERAGE(B62:D62)</x:f>
        <x:v>50.06666666666666</x:v>
      </x:c>
      <x:c r="F62" s="25" t="str">
        <x:f>IF(E62&gt;=80,"HD/D range",IF(E62&gt;=70,"D range",IF(E62&gt;=60,"C range",IF(E62&gt;=50,"P range","At risk"))))</x:f>
        <x:v>P range</x:v>
      </x:c>
    </x:row>
    <x:row r="63" ht="15" hidden="0" customHeight="1">
      <x:c r="A63" s="22" t="str">
        <x:v>STU0062</x:v>
      </x:c>
      <x:c r="B63" s="23" t="n">
        <x:f>SUM(Results!G673:G676)</x:f>
        <x:v>62.650000000000006</x:v>
      </x:c>
      <x:c r="C63" s="23" t="n">
        <x:f>SUM(Results!G677:G679)</x:f>
        <x:v>62.9</x:v>
      </x:c>
      <x:c r="D63" s="23" t="n">
        <x:f>SUM(Results!G680:G683)</x:f>
        <x:v>62.699999999999996</x:v>
      </x:c>
      <x:c r="E63" s="23" t="n">
        <x:f>AVERAGE(B63:D63)</x:f>
        <x:v>62.75</x:v>
      </x:c>
      <x:c r="F63" s="25" t="str">
        <x:f>IF(E63&gt;=80,"HD/D range",IF(E63&gt;=70,"D range",IF(E63&gt;=60,"C range",IF(E63&gt;=50,"P range","At risk"))))</x:f>
        <x:v>C range</x:v>
      </x:c>
    </x:row>
    <x:row r="64" ht="15" hidden="0" customHeight="1">
      <x:c r="A64" s="22" t="str">
        <x:v>STU0063</x:v>
      </x:c>
      <x:c r="B64" s="23" t="n">
        <x:f>SUM(Results!G684:G687)</x:f>
        <x:v>91.35</x:v>
      </x:c>
      <x:c r="C64" s="23" t="n">
        <x:f>SUM(Results!G688:G690)</x:f>
        <x:v>94.6</x:v>
      </x:c>
      <x:c r="D64" s="23" t="n">
        <x:f>SUM(Results!G691:G694)</x:f>
        <x:v>94</x:v>
      </x:c>
      <x:c r="E64" s="23" t="n">
        <x:f>AVERAGE(B64:D64)</x:f>
        <x:v>93.31666666666666</x:v>
      </x:c>
      <x:c r="F64" s="25" t="str">
        <x:f>IF(E64&gt;=80,"HD/D range",IF(E64&gt;=70,"D range",IF(E64&gt;=60,"C range",IF(E64&gt;=50,"P range","At risk"))))</x:f>
        <x:v>HD/D range</x:v>
      </x:c>
    </x:row>
    <x:row r="65" ht="15" hidden="0" customHeight="1">
      <x:c r="A65" s="22" t="str">
        <x:v>STU0064</x:v>
      </x:c>
      <x:c r="B65" s="23" t="n">
        <x:f>SUM(Results!G695:G698)</x:f>
        <x:v>52.2</x:v>
      </x:c>
      <x:c r="C65" s="23" t="n">
        <x:f>SUM(Results!G699:G701)</x:f>
        <x:v>57.9</x:v>
      </x:c>
      <x:c r="D65" s="23" t="n">
        <x:f>SUM(Results!G702:G705)</x:f>
        <x:v>53.8</x:v>
      </x:c>
      <x:c r="E65" s="23" t="n">
        <x:f>AVERAGE(B65:D65)</x:f>
        <x:v>54.633333333333326</x:v>
      </x:c>
      <x:c r="F65" s="25" t="str">
        <x:f>IF(E65&gt;=80,"HD/D range",IF(E65&gt;=70,"D range",IF(E65&gt;=60,"C range",IF(E65&gt;=50,"P range","At risk"))))</x:f>
        <x:v>P range</x:v>
      </x:c>
    </x:row>
    <x:row r="66" ht="15" hidden="0" customHeight="1">
      <x:c r="A66" s="22" t="str">
        <x:v>STU0065</x:v>
      </x:c>
      <x:c r="B66" s="23" t="n">
        <x:f>SUM(Results!G706:G709)</x:f>
        <x:v>66.55</x:v>
      </x:c>
      <x:c r="C66" s="23" t="n">
        <x:f>SUM(Results!G710:G712)</x:f>
        <x:v>64.7</x:v>
      </x:c>
      <x:c r="D66" s="23" t="n">
        <x:f>SUM(Results!G713:G716)</x:f>
        <x:v>61.8</x:v>
      </x:c>
      <x:c r="E66" s="23" t="n">
        <x:f>AVERAGE(B66:D66)</x:f>
        <x:v>64.35000000000001</x:v>
      </x:c>
      <x:c r="F66" s="25" t="str">
        <x:f>IF(E66&gt;=80,"HD/D range",IF(E66&gt;=70,"D range",IF(E66&gt;=60,"C range",IF(E66&gt;=50,"P range","At risk"))))</x:f>
        <x:v>C range</x:v>
      </x:c>
    </x:row>
    <x:row r="67" ht="15" hidden="0" customHeight="1">
      <x:c r="A67" s="22" t="str">
        <x:v>STU0066</x:v>
      </x:c>
      <x:c r="B67" s="23" t="n">
        <x:f>SUM(Results!G717:G720)</x:f>
        <x:v>56.85000000000001</x:v>
      </x:c>
      <x:c r="C67" s="23" t="n">
        <x:f>SUM(Results!G721:G723)</x:f>
        <x:v>57.9</x:v>
      </x:c>
      <x:c r="D67" s="23" t="n">
        <x:f>SUM(Results!G724:G727)</x:f>
        <x:v>54.3</x:v>
      </x:c>
      <x:c r="E67" s="23" t="n">
        <x:f>AVERAGE(B67:D67)</x:f>
        <x:v>56.35</x:v>
      </x:c>
      <x:c r="F67" s="25" t="str">
        <x:f>IF(E67&gt;=80,"HD/D range",IF(E67&gt;=70,"D range",IF(E67&gt;=60,"C range",IF(E67&gt;=50,"P range","At risk"))))</x:f>
        <x:v>P range</x:v>
      </x:c>
    </x:row>
    <x:row r="68" ht="15" hidden="0" customHeight="1">
      <x:c r="A68" s="22" t="str">
        <x:v>STU0067</x:v>
      </x:c>
      <x:c r="B68" s="23" t="n">
        <x:f>SUM(Results!G728:G731)</x:f>
        <x:v>42.599999999999994</x:v>
      </x:c>
      <x:c r="C68" s="23" t="n">
        <x:f>SUM(Results!G732:G734)</x:f>
        <x:v>39.6</x:v>
      </x:c>
      <x:c r="D68" s="23" t="n">
        <x:f>SUM(Results!G735:G738)</x:f>
        <x:v>45.8</x:v>
      </x:c>
      <x:c r="E68" s="23" t="n">
        <x:f>AVERAGE(B68:D68)</x:f>
        <x:v>42.666666666666664</x:v>
      </x:c>
      <x:c r="F68" s="25" t="str">
        <x:f>IF(E68&gt;=80,"HD/D range",IF(E68&gt;=70,"D range",IF(E68&gt;=60,"C range",IF(E68&gt;=50,"P range","At risk"))))</x:f>
        <x:v>At risk</x:v>
      </x:c>
    </x:row>
    <x:row r="69" ht="15" hidden="0" customHeight="1">
      <x:c r="A69" s="22" t="str">
        <x:v>STU0068</x:v>
      </x:c>
      <x:c r="B69" s="23" t="n">
        <x:f>SUM(Results!G739:G742)</x:f>
        <x:v>81.05000000000001</x:v>
      </x:c>
      <x:c r="C69" s="23" t="n">
        <x:f>SUM(Results!G743:G745)</x:f>
        <x:v>88.5</x:v>
      </x:c>
      <x:c r="D69" s="23" t="n">
        <x:f>SUM(Results!G746:G749)</x:f>
        <x:v>83.60000000000001</x:v>
      </x:c>
      <x:c r="E69" s="23" t="n">
        <x:f>AVERAGE(B69:D69)</x:f>
        <x:v>84.38333333333334</x:v>
      </x:c>
      <x:c r="F69" s="25" t="str">
        <x:f>IF(E69&gt;=80,"HD/D range",IF(E69&gt;=70,"D range",IF(E69&gt;=60,"C range",IF(E69&gt;=50,"P range","At risk"))))</x:f>
        <x:v>HD/D range</x:v>
      </x:c>
    </x:row>
    <x:row r="70" ht="15" hidden="0" customHeight="1">
      <x:c r="A70" s="22" t="str">
        <x:v>STU0069</x:v>
      </x:c>
      <x:c r="B70" s="23" t="n">
        <x:f>SUM(Results!G750:G753)</x:f>
        <x:v>45.85</x:v>
      </x:c>
      <x:c r="C70" s="23" t="n">
        <x:f>SUM(Results!G754:G756)</x:f>
        <x:v>52.1</x:v>
      </x:c>
      <x:c r="D70" s="23" t="n">
        <x:f>SUM(Results!G757:G760)</x:f>
        <x:v>50.3</x:v>
      </x:c>
      <x:c r="E70" s="23" t="n">
        <x:f>AVERAGE(B70:D70)</x:f>
        <x:v>49.416666666666664</x:v>
      </x:c>
      <x:c r="F70" s="25" t="str">
        <x:f>IF(E70&gt;=80,"HD/D range",IF(E70&gt;=70,"D range",IF(E70&gt;=60,"C range",IF(E70&gt;=50,"P range","At risk"))))</x:f>
        <x:v>At risk</x:v>
      </x:c>
    </x:row>
    <x:row r="71" ht="15" hidden="0" customHeight="1">
      <x:c r="A71" s="22" t="str">
        <x:v>STU0070</x:v>
      </x:c>
      <x:c r="B71" s="23" t="n">
        <x:f>SUM(Results!G761:G764)</x:f>
        <x:v>74.9</x:v>
      </x:c>
      <x:c r="C71" s="23" t="n">
        <x:f>SUM(Results!G765:G767)</x:f>
        <x:v>74.1</x:v>
      </x:c>
      <x:c r="D71" s="23" t="n">
        <x:f>SUM(Results!G768:G771)</x:f>
        <x:v>75.1</x:v>
      </x:c>
      <x:c r="E71" s="23" t="n">
        <x:f>AVERAGE(B71:D71)</x:f>
        <x:v>74.7</x:v>
      </x:c>
      <x:c r="F71" s="25" t="str">
        <x:f>IF(E71&gt;=80,"HD/D range",IF(E71&gt;=70,"D range",IF(E71&gt;=60,"C range",IF(E71&gt;=50,"P range","At risk"))))</x:f>
        <x:v>D range</x:v>
      </x:c>
    </x:row>
    <x:row r="72" ht="15" hidden="0" customHeight="1">
      <x:c r="A72" s="22" t="str">
        <x:v>STU0071</x:v>
      </x:c>
      <x:c r="B72" s="23" t="n">
        <x:f>SUM(Results!G772:G775)</x:f>
        <x:v>66.9</x:v>
      </x:c>
      <x:c r="C72" s="23" t="n">
        <x:f>SUM(Results!G776:G778)</x:f>
        <x:v>60.6</x:v>
      </x:c>
      <x:c r="D72" s="23" t="n">
        <x:f>SUM(Results!G779:G782)</x:f>
        <x:v>68</x:v>
      </x:c>
      <x:c r="E72" s="23" t="n">
        <x:f>AVERAGE(B72:D72)</x:f>
        <x:v>65.16666666666667</x:v>
      </x:c>
      <x:c r="F72" s="25" t="str">
        <x:f>IF(E72&gt;=80,"HD/D range",IF(E72&gt;=70,"D range",IF(E72&gt;=60,"C range",IF(E72&gt;=50,"P range","At risk"))))</x:f>
        <x:v>C range</x:v>
      </x:c>
    </x:row>
    <x:row r="73" ht="15" hidden="0" customHeight="1">
      <x:c r="A73" s="22" t="str">
        <x:v>STU0072</x:v>
      </x:c>
      <x:c r="B73" s="23" t="n">
        <x:f>SUM(Results!G783:G786)</x:f>
        <x:v>77.55</x:v>
      </x:c>
      <x:c r="C73" s="23" t="n">
        <x:f>SUM(Results!G787:G789)</x:f>
        <x:v>73.2</x:v>
      </x:c>
      <x:c r="D73" s="23" t="n">
        <x:f>SUM(Results!G790:G793)</x:f>
        <x:v>73.25</x:v>
      </x:c>
      <x:c r="E73" s="23" t="n">
        <x:f>AVERAGE(B73:D73)</x:f>
        <x:v>74.66666666666667</x:v>
      </x:c>
      <x:c r="F73" s="25" t="str">
        <x:f>IF(E73&gt;=80,"HD/D range",IF(E73&gt;=70,"D range",IF(E73&gt;=60,"C range",IF(E73&gt;=50,"P range","At risk"))))</x:f>
        <x:v>D range</x:v>
      </x:c>
    </x:row>
    <x:row r="74" ht="15" hidden="0" customHeight="1">
      <x:c r="A74" s="22" t="str">
        <x:v>STU0073</x:v>
      </x:c>
      <x:c r="B74" s="23" t="n">
        <x:f>SUM(Results!G794:G797)</x:f>
        <x:v>73.6</x:v>
      </x:c>
      <x:c r="C74" s="23" t="n">
        <x:f>SUM(Results!G798:G800)</x:f>
        <x:v>70.8</x:v>
      </x:c>
      <x:c r="D74" s="23" t="n">
        <x:f>SUM(Results!G801:G804)</x:f>
        <x:v>71.55</x:v>
      </x:c>
      <x:c r="E74" s="23" t="n">
        <x:f>AVERAGE(B74:D74)</x:f>
        <x:v>71.98333333333333</x:v>
      </x:c>
      <x:c r="F74" s="25" t="str">
        <x:f>IF(E74&gt;=80,"HD/D range",IF(E74&gt;=70,"D range",IF(E74&gt;=60,"C range",IF(E74&gt;=50,"P range","At risk"))))</x:f>
        <x:v>D range</x:v>
      </x:c>
    </x:row>
    <x:row r="75" ht="15" hidden="0" customHeight="1">
      <x:c r="A75" s="22" t="str">
        <x:v>STU0074</x:v>
      </x:c>
      <x:c r="B75" s="23" t="n">
        <x:f>SUM(Results!G805:G808)</x:f>
        <x:v>49.550000000000004</x:v>
      </x:c>
      <x:c r="C75" s="23" t="n">
        <x:f>SUM(Results!G809:G811)</x:f>
        <x:v>55.2</x:v>
      </x:c>
      <x:c r="D75" s="23" t="n">
        <x:f>SUM(Results!G812:G815)</x:f>
        <x:v>49</x:v>
      </x:c>
      <x:c r="E75" s="23" t="n">
        <x:f>AVERAGE(B75:D75)</x:f>
        <x:v>51.25</x:v>
      </x:c>
      <x:c r="F75" s="25" t="str">
        <x:f>IF(E75&gt;=80,"HD/D range",IF(E75&gt;=70,"D range",IF(E75&gt;=60,"C range",IF(E75&gt;=50,"P range","At risk"))))</x:f>
        <x:v>P range</x:v>
      </x:c>
    </x:row>
    <x:row r="76" ht="15" hidden="0" customHeight="1">
      <x:c r="A76" s="22" t="str">
        <x:v>STU0075</x:v>
      </x:c>
      <x:c r="B76" s="23" t="n">
        <x:f>SUM(Results!G816:G819)</x:f>
        <x:v>72.15</x:v>
      </x:c>
      <x:c r="C76" s="23" t="n">
        <x:f>SUM(Results!G820:G822)</x:f>
        <x:v>73.7</x:v>
      </x:c>
      <x:c r="D76" s="23" t="n">
        <x:f>SUM(Results!G823:G826)</x:f>
        <x:v>79.05</x:v>
      </x:c>
      <x:c r="E76" s="23" t="n">
        <x:f>AVERAGE(B76:D76)</x:f>
        <x:v>74.96666666666668</x:v>
      </x:c>
      <x:c r="F76" s="25" t="str">
        <x:f>IF(E76&gt;=80,"HD/D range",IF(E76&gt;=70,"D range",IF(E76&gt;=60,"C range",IF(E76&gt;=50,"P range","At risk"))))</x:f>
        <x:v>D range</x:v>
      </x:c>
    </x:row>
    <x:row r="77" ht="15" hidden="0" customHeight="1">
      <x:c r="A77" s="22" t="str">
        <x:v>STU0076</x:v>
      </x:c>
      <x:c r="B77" s="23" t="n">
        <x:f>SUM(Results!G827:G830)</x:f>
        <x:v>68.4</x:v>
      </x:c>
      <x:c r="C77" s="23" t="n">
        <x:f>SUM(Results!G831:G833)</x:f>
        <x:v>68.2</x:v>
      </x:c>
      <x:c r="D77" s="23" t="n">
        <x:f>SUM(Results!G834:G837)</x:f>
        <x:v>71.05</x:v>
      </x:c>
      <x:c r="E77" s="23" t="n">
        <x:f>AVERAGE(B77:D77)</x:f>
        <x:v>69.21666666666668</x:v>
      </x:c>
      <x:c r="F77" s="25" t="str">
        <x:f>IF(E77&gt;=80,"HD/D range",IF(E77&gt;=70,"D range",IF(E77&gt;=60,"C range",IF(E77&gt;=50,"P range","At risk"))))</x:f>
        <x:v>C range</x:v>
      </x:c>
    </x:row>
    <x:row r="78" ht="15" hidden="0" customHeight="1">
      <x:c r="A78" s="22" t="str">
        <x:v>STU0077</x:v>
      </x:c>
      <x:c r="B78" s="23" t="n">
        <x:f>SUM(Results!G838:G841)</x:f>
        <x:v>69.05</x:v>
      </x:c>
      <x:c r="C78" s="23" t="n">
        <x:f>SUM(Results!G842:G844)</x:f>
        <x:v>69.5</x:v>
      </x:c>
      <x:c r="D78" s="23" t="n">
        <x:f>SUM(Results!G845:G848)</x:f>
        <x:v>73.7</x:v>
      </x:c>
      <x:c r="E78" s="23" t="n">
        <x:f>AVERAGE(B78:D78)</x:f>
        <x:v>70.75</x:v>
      </x:c>
      <x:c r="F78" s="25" t="str">
        <x:f>IF(E78&gt;=80,"HD/D range",IF(E78&gt;=70,"D range",IF(E78&gt;=60,"C range",IF(E78&gt;=50,"P range","At risk"))))</x:f>
        <x:v>D range</x:v>
      </x:c>
    </x:row>
    <x:row r="79" ht="15" hidden="0" customHeight="1">
      <x:c r="A79" s="22" t="str">
        <x:v>STU0078</x:v>
      </x:c>
      <x:c r="B79" s="23" t="n">
        <x:f>SUM(Results!G849:G852)</x:f>
        <x:v>71.9</x:v>
      </x:c>
      <x:c r="C79" s="23" t="n">
        <x:f>SUM(Results!G853:G855)</x:f>
        <x:v>74.3</x:v>
      </x:c>
      <x:c r="D79" s="23" t="n">
        <x:f>SUM(Results!G856:G859)</x:f>
        <x:v>79</x:v>
      </x:c>
      <x:c r="E79" s="23" t="n">
        <x:f>AVERAGE(B79:D79)</x:f>
        <x:v>75.06666666666666</x:v>
      </x:c>
      <x:c r="F79" s="25" t="str">
        <x:f>IF(E79&gt;=80,"HD/D range",IF(E79&gt;=70,"D range",IF(E79&gt;=60,"C range",IF(E79&gt;=50,"P range","At risk"))))</x:f>
        <x:v>D range</x:v>
      </x:c>
    </x:row>
    <x:row r="80" ht="15" hidden="0" customHeight="1">
      <x:c r="A80" s="22" t="str">
        <x:v>STU0079</x:v>
      </x:c>
      <x:c r="B80" s="23" t="n">
        <x:f>SUM(Results!G860:G863)</x:f>
        <x:v>64.7</x:v>
      </x:c>
      <x:c r="C80" s="23" t="n">
        <x:f>SUM(Results!G864:G866)</x:f>
        <x:v>68</x:v>
      </x:c>
      <x:c r="D80" s="23" t="n">
        <x:f>SUM(Results!G867:G870)</x:f>
        <x:v>69.6</x:v>
      </x:c>
      <x:c r="E80" s="23" t="n">
        <x:f>AVERAGE(B80:D80)</x:f>
        <x:v>67.43333333333332</x:v>
      </x:c>
      <x:c r="F80" s="25" t="str">
        <x:f>IF(E80&gt;=80,"HD/D range",IF(E80&gt;=70,"D range",IF(E80&gt;=60,"C range",IF(E80&gt;=50,"P range","At risk"))))</x:f>
        <x:v>C range</x:v>
      </x:c>
    </x:row>
    <x:row r="81" ht="15" hidden="0" customHeight="1">
      <x:c r="A81" s="22" t="str">
        <x:v>STU0080</x:v>
      </x:c>
      <x:c r="B81" s="23" t="n">
        <x:f>SUM(Results!G871:G874)</x:f>
        <x:v>47.1</x:v>
      </x:c>
      <x:c r="C81" s="23" t="n">
        <x:f>SUM(Results!G875:G877)</x:f>
        <x:v>51.6</x:v>
      </x:c>
      <x:c r="D81" s="23" t="n">
        <x:f>SUM(Results!G878:G881)</x:f>
        <x:v>48</x:v>
      </x:c>
      <x:c r="E81" s="23" t="n">
        <x:f>AVERAGE(B81:D81)</x:f>
        <x:v>48.9</x:v>
      </x:c>
      <x:c r="F81" s="25" t="str">
        <x:f>IF(E81&gt;=80,"HD/D range",IF(E81&gt;=70,"D range",IF(E81&gt;=60,"C range",IF(E81&gt;=50,"P range","At risk"))))</x:f>
        <x:v>At risk</x:v>
      </x:c>
    </x:row>
    <x:row r="82" ht="15" hidden="0" customHeight="1">
      <x:c r="A82" s="22" t="str">
        <x:v>STU0081</x:v>
      </x:c>
      <x:c r="B82" s="23" t="n">
        <x:f>SUM(Results!G882:G885)</x:f>
        <x:v>84.80000000000001</x:v>
      </x:c>
      <x:c r="C82" s="23" t="n">
        <x:f>SUM(Results!G886:G888)</x:f>
        <x:v>78.1</x:v>
      </x:c>
      <x:c r="D82" s="23" t="n">
        <x:f>SUM(Results!G889:G892)</x:f>
        <x:v>83.44999999999999</x:v>
      </x:c>
      <x:c r="E82" s="23" t="n">
        <x:f>AVERAGE(B82:D82)</x:f>
        <x:v>82.11666666666666</x:v>
      </x:c>
      <x:c r="F82" s="25" t="str">
        <x:f>IF(E82&gt;=80,"HD/D range",IF(E82&gt;=70,"D range",IF(E82&gt;=60,"C range",IF(E82&gt;=50,"P range","At risk"))))</x:f>
        <x:v>HD/D range</x:v>
      </x:c>
    </x:row>
    <x:row r="83" ht="15" hidden="0" customHeight="1">
      <x:c r="A83" s="22" t="str">
        <x:v>STU0082</x:v>
      </x:c>
      <x:c r="B83" s="23" t="n">
        <x:f>SUM(Results!G893:G896)</x:f>
        <x:v>61.85</x:v>
      </x:c>
      <x:c r="C83" s="23" t="n">
        <x:f>SUM(Results!G897:G899)</x:f>
        <x:v>52</x:v>
      </x:c>
      <x:c r="D83" s="23" t="n">
        <x:f>SUM(Results!G900:G903)</x:f>
        <x:v>56.7</x:v>
      </x:c>
      <x:c r="E83" s="23" t="n">
        <x:f>AVERAGE(B83:D83)</x:f>
        <x:v>56.85</x:v>
      </x:c>
      <x:c r="F83" s="25" t="str">
        <x:f>IF(E83&gt;=80,"HD/D range",IF(E83&gt;=70,"D range",IF(E83&gt;=60,"C range",IF(E83&gt;=50,"P range","At risk"))))</x:f>
        <x:v>P range</x:v>
      </x:c>
    </x:row>
    <x:row r="84" ht="15" hidden="0" customHeight="1">
      <x:c r="A84" s="22" t="str">
        <x:v>STU0083</x:v>
      </x:c>
      <x:c r="B84" s="23" t="n">
        <x:f>SUM(Results!G904:G907)</x:f>
        <x:v>49.7</x:v>
      </x:c>
      <x:c r="C84" s="23" t="n">
        <x:f>SUM(Results!G908:G910)</x:f>
        <x:v>55.1</x:v>
      </x:c>
      <x:c r="D84" s="23" t="n">
        <x:f>SUM(Results!G911:G914)</x:f>
        <x:v>55.7</x:v>
      </x:c>
      <x:c r="E84" s="23" t="n">
        <x:f>AVERAGE(B84:D84)</x:f>
        <x:v>53.5</x:v>
      </x:c>
      <x:c r="F84" s="25" t="str">
        <x:f>IF(E84&gt;=80,"HD/D range",IF(E84&gt;=70,"D range",IF(E84&gt;=60,"C range",IF(E84&gt;=50,"P range","At risk"))))</x:f>
        <x:v>P range</x:v>
      </x:c>
    </x:row>
    <x:row r="85" ht="15" hidden="0" customHeight="1">
      <x:c r="A85" s="22" t="str">
        <x:v>STU0084</x:v>
      </x:c>
      <x:c r="B85" s="23" t="n">
        <x:f>SUM(Results!G915:G918)</x:f>
        <x:v>46.6</x:v>
      </x:c>
      <x:c r="C85" s="23" t="n">
        <x:f>SUM(Results!G919:G921)</x:f>
        <x:v>47.4</x:v>
      </x:c>
      <x:c r="D85" s="23" t="n">
        <x:f>SUM(Results!G922:G925)</x:f>
        <x:v>47.4</x:v>
      </x:c>
      <x:c r="E85" s="23" t="n">
        <x:f>AVERAGE(B85:D85)</x:f>
        <x:v>47.13333333333333</x:v>
      </x:c>
      <x:c r="F85" s="25" t="str">
        <x:f>IF(E85&gt;=80,"HD/D range",IF(E85&gt;=70,"D range",IF(E85&gt;=60,"C range",IF(E85&gt;=50,"P range","At risk"))))</x:f>
        <x:v>At risk</x:v>
      </x:c>
    </x:row>
    <x:row r="86" ht="15" hidden="0" customHeight="1">
      <x:c r="A86" s="22" t="str">
        <x:v>STU0085</x:v>
      </x:c>
      <x:c r="B86" s="23" t="n">
        <x:f>SUM(Results!G926:G929)</x:f>
        <x:v>65.4</x:v>
      </x:c>
      <x:c r="C86" s="23" t="n">
        <x:f>SUM(Results!G930:G932)</x:f>
        <x:v>61.9</x:v>
      </x:c>
      <x:c r="D86" s="23" t="n">
        <x:f>SUM(Results!G933:G936)</x:f>
        <x:v>66.85</x:v>
      </x:c>
      <x:c r="E86" s="23" t="n">
        <x:f>AVERAGE(B86:D86)</x:f>
        <x:v>64.71666666666667</x:v>
      </x:c>
      <x:c r="F86" s="25" t="str">
        <x:f>IF(E86&gt;=80,"HD/D range",IF(E86&gt;=70,"D range",IF(E86&gt;=60,"C range",IF(E86&gt;=50,"P range","At risk"))))</x:f>
        <x:v>C range</x:v>
      </x:c>
    </x:row>
    <x:row r="87" ht="15" hidden="0" customHeight="1">
      <x:c r="A87" s="22" t="str">
        <x:v>STU0086</x:v>
      </x:c>
      <x:c r="B87" s="23" t="n">
        <x:f>SUM(Results!G937:G940)</x:f>
        <x:v>84.25</x:v>
      </x:c>
      <x:c r="C87" s="23" t="n">
        <x:f>SUM(Results!G941:G943)</x:f>
        <x:v>77</x:v>
      </x:c>
      <x:c r="D87" s="23" t="n">
        <x:f>SUM(Results!G944:G947)</x:f>
        <x:v>80.55</x:v>
      </x:c>
      <x:c r="E87" s="23" t="n">
        <x:f>AVERAGE(B87:D87)</x:f>
        <x:v>80.60000000000001</x:v>
      </x:c>
      <x:c r="F87" s="25" t="str">
        <x:f>IF(E87&gt;=80,"HD/D range",IF(E87&gt;=70,"D range",IF(E87&gt;=60,"C range",IF(E87&gt;=50,"P range","At risk"))))</x:f>
        <x:v>HD/D range</x:v>
      </x:c>
    </x:row>
    <x:row r="88" ht="15" hidden="0" customHeight="1">
      <x:c r="A88" s="22" t="str">
        <x:v>STU0087</x:v>
      </x:c>
      <x:c r="B88" s="23" t="n">
        <x:f>SUM(Results!G948:G951)</x:f>
        <x:v>57.25</x:v>
      </x:c>
      <x:c r="C88" s="23" t="n">
        <x:f>SUM(Results!G952:G954)</x:f>
        <x:v>59.5</x:v>
      </x:c>
      <x:c r="D88" s="23" t="n">
        <x:f>SUM(Results!G955:G958)</x:f>
        <x:v>62.3</x:v>
      </x:c>
      <x:c r="E88" s="23" t="n">
        <x:f>AVERAGE(B88:D88)</x:f>
        <x:v>59.68333333333334</x:v>
      </x:c>
      <x:c r="F88" s="25" t="str">
        <x:f>IF(E88&gt;=80,"HD/D range",IF(E88&gt;=70,"D range",IF(E88&gt;=60,"C range",IF(E88&gt;=50,"P range","At risk"))))</x:f>
        <x:v>P range</x:v>
      </x:c>
    </x:row>
    <x:row r="89" ht="15" hidden="0" customHeight="1">
      <x:c r="A89" s="22" t="str">
        <x:v>STU0088</x:v>
      </x:c>
      <x:c r="B89" s="23" t="n">
        <x:f>SUM(Results!G959:G962)</x:f>
        <x:v>75.30000000000001</x:v>
      </x:c>
      <x:c r="C89" s="23" t="n">
        <x:f>SUM(Results!G963:G965)</x:f>
        <x:v>73.6</x:v>
      </x:c>
      <x:c r="D89" s="23" t="n">
        <x:f>SUM(Results!G966:G969)</x:f>
        <x:v>71.55</x:v>
      </x:c>
      <x:c r="E89" s="23" t="n">
        <x:f>AVERAGE(B89:D89)</x:f>
        <x:v>73.48333333333333</x:v>
      </x:c>
      <x:c r="F89" s="25" t="str">
        <x:f>IF(E89&gt;=80,"HD/D range",IF(E89&gt;=70,"D range",IF(E89&gt;=60,"C range",IF(E89&gt;=50,"P range","At risk"))))</x:f>
        <x:v>D range</x:v>
      </x:c>
    </x:row>
    <x:row r="90" ht="15" hidden="0" customHeight="1">
      <x:c r="A90" s="22" t="str">
        <x:v>STU0089</x:v>
      </x:c>
      <x:c r="B90" s="23" t="n">
        <x:f>SUM(Results!G970:G973)</x:f>
        <x:v>68</x:v>
      </x:c>
      <x:c r="C90" s="23" t="n">
        <x:f>SUM(Results!G974:G976)</x:f>
        <x:v>62.5</x:v>
      </x:c>
      <x:c r="D90" s="23" t="n">
        <x:f>SUM(Results!G977:G980)</x:f>
        <x:v>66.69999999999999</x:v>
      </x:c>
      <x:c r="E90" s="23" t="n">
        <x:f>AVERAGE(B90:D90)</x:f>
        <x:v>65.73333333333333</x:v>
      </x:c>
      <x:c r="F90" s="25" t="str">
        <x:f>IF(E90&gt;=80,"HD/D range",IF(E90&gt;=70,"D range",IF(E90&gt;=60,"C range",IF(E90&gt;=50,"P range","At risk"))))</x:f>
        <x:v>C range</x:v>
      </x:c>
    </x:row>
    <x:row r="91" ht="15" hidden="0" customHeight="1">
      <x:c r="A91" s="22" t="str">
        <x:v>STU0090</x:v>
      </x:c>
      <x:c r="B91" s="23" t="n">
        <x:f>SUM(Results!G981:G984)</x:f>
        <x:v>67.25</x:v>
      </x:c>
      <x:c r="C91" s="23" t="n">
        <x:f>SUM(Results!G985:G987)</x:f>
        <x:v>71.2</x:v>
      </x:c>
      <x:c r="D91" s="23" t="n">
        <x:f>SUM(Results!G988:G991)</x:f>
        <x:v>67.3</x:v>
      </x:c>
      <x:c r="E91" s="23" t="n">
        <x:f>AVERAGE(B91:D91)</x:f>
        <x:v>68.58333333333333</x:v>
      </x:c>
      <x:c r="F91" s="25" t="str">
        <x:f>IF(E91&gt;=80,"HD/D range",IF(E91&gt;=70,"D range",IF(E91&gt;=60,"C range",IF(E91&gt;=50,"P range","At risk"))))</x:f>
        <x:v>C range</x:v>
      </x:c>
    </x:row>
    <x:row r="92" ht="15" hidden="0" customHeight="1">
      <x:c r="A92" s="22" t="str">
        <x:v>STU0091</x:v>
      </x:c>
      <x:c r="B92" s="23" t="n">
        <x:f>SUM(Results!G992:G995)</x:f>
        <x:v>78.35</x:v>
      </x:c>
      <x:c r="C92" s="23" t="n">
        <x:f>SUM(Results!G996:G998)</x:f>
        <x:v>81.1</x:v>
      </x:c>
      <x:c r="D92" s="23" t="n">
        <x:f>SUM(Results!G999:G1002)</x:f>
        <x:v>80.85</x:v>
      </x:c>
      <x:c r="E92" s="23" t="n">
        <x:f>AVERAGE(B92:D92)</x:f>
        <x:v>80.1</x:v>
      </x:c>
      <x:c r="F92" s="25" t="str">
        <x:f>IF(E92&gt;=80,"HD/D range",IF(E92&gt;=70,"D range",IF(E92&gt;=60,"C range",IF(E92&gt;=50,"P range","At risk"))))</x:f>
        <x:v>HD/D range</x:v>
      </x:c>
    </x:row>
    <x:row r="93" ht="15" hidden="0" customHeight="1">
      <x:c r="A93" s="22" t="str">
        <x:v>STU0092</x:v>
      </x:c>
      <x:c r="B93" s="23" t="n">
        <x:f>SUM(Results!G1003:G1006)</x:f>
        <x:v>62.599999999999994</x:v>
      </x:c>
      <x:c r="C93" s="23" t="n">
        <x:f>SUM(Results!G1007:G1009)</x:f>
        <x:v>61.1</x:v>
      </x:c>
      <x:c r="D93" s="23" t="n">
        <x:f>SUM(Results!G1010:G1013)</x:f>
        <x:v>62.24999999999999</x:v>
      </x:c>
      <x:c r="E93" s="23" t="n">
        <x:f>AVERAGE(B93:D93)</x:f>
        <x:v>61.98333333333333</x:v>
      </x:c>
      <x:c r="F93" s="25" t="str">
        <x:f>IF(E93&gt;=80,"HD/D range",IF(E93&gt;=70,"D range",IF(E93&gt;=60,"C range",IF(E93&gt;=50,"P range","At risk"))))</x:f>
        <x:v>C range</x:v>
      </x:c>
    </x:row>
    <x:row r="94" ht="15" hidden="0" customHeight="1">
      <x:c r="A94" s="22" t="str">
        <x:v>STU0093</x:v>
      </x:c>
      <x:c r="B94" s="23" t="n">
        <x:f>SUM(Results!G1014:G1017)</x:f>
        <x:v>63.8</x:v>
      </x:c>
      <x:c r="C94" s="23" t="n">
        <x:f>SUM(Results!G1018:G1020)</x:f>
        <x:v>64.3</x:v>
      </x:c>
      <x:c r="D94" s="23" t="n">
        <x:f>SUM(Results!G1021:G1024)</x:f>
        <x:v>65.75</x:v>
      </x:c>
      <x:c r="E94" s="23" t="n">
        <x:f>AVERAGE(B94:D94)</x:f>
        <x:v>64.61666666666666</x:v>
      </x:c>
      <x:c r="F94" s="25" t="str">
        <x:f>IF(E94&gt;=80,"HD/D range",IF(E94&gt;=70,"D range",IF(E94&gt;=60,"C range",IF(E94&gt;=50,"P range","At risk"))))</x:f>
        <x:v>C range</x:v>
      </x:c>
    </x:row>
    <x:row r="95" ht="15" hidden="0" customHeight="1">
      <x:c r="A95" s="22" t="str">
        <x:v>STU0094</x:v>
      </x:c>
      <x:c r="B95" s="23" t="n">
        <x:f>SUM(Results!G1025:G1028)</x:f>
        <x:v>65.80000000000001</x:v>
      </x:c>
      <x:c r="C95" s="23" t="n">
        <x:f>SUM(Results!G1029:G1031)</x:f>
        <x:v>65</x:v>
      </x:c>
      <x:c r="D95" s="23" t="n">
        <x:f>SUM(Results!G1032:G1035)</x:f>
        <x:v>62.74999999999999</x:v>
      </x:c>
      <x:c r="E95" s="23" t="n">
        <x:f>AVERAGE(B95:D95)</x:f>
        <x:v>64.51666666666667</x:v>
      </x:c>
      <x:c r="F95" s="25" t="str">
        <x:f>IF(E95&gt;=80,"HD/D range",IF(E95&gt;=70,"D range",IF(E95&gt;=60,"C range",IF(E95&gt;=50,"P range","At risk"))))</x:f>
        <x:v>C range</x:v>
      </x:c>
    </x:row>
    <x:row r="96" ht="15" hidden="0" customHeight="1">
      <x:c r="A96" s="22" t="str">
        <x:v>STU0095</x:v>
      </x:c>
      <x:c r="B96" s="23" t="n">
        <x:f>SUM(Results!G1036:G1039)</x:f>
        <x:v>58.1</x:v>
      </x:c>
      <x:c r="C96" s="23" t="n">
        <x:f>SUM(Results!G1040:G1042)</x:f>
        <x:v>61.4</x:v>
      </x:c>
      <x:c r="D96" s="23" t="n">
        <x:f>SUM(Results!G1043:G1046)</x:f>
        <x:v>61.74999999999999</x:v>
      </x:c>
      <x:c r="E96" s="23" t="n">
        <x:f>AVERAGE(B96:D96)</x:f>
        <x:v>60.416666666666664</x:v>
      </x:c>
      <x:c r="F96" s="25" t="str">
        <x:f>IF(E96&gt;=80,"HD/D range",IF(E96&gt;=70,"D range",IF(E96&gt;=60,"C range",IF(E96&gt;=50,"P range","At risk"))))</x:f>
        <x:v>C range</x:v>
      </x:c>
    </x:row>
    <x:row r="97" ht="15" hidden="0" customHeight="1">
      <x:c r="A97" s="22" t="str">
        <x:v>STU0096</x:v>
      </x:c>
      <x:c r="B97" s="23" t="n">
        <x:f>SUM(Results!G1047:G1050)</x:f>
        <x:v>56.55</x:v>
      </x:c>
      <x:c r="C97" s="23" t="n">
        <x:f>SUM(Results!G1051:G1053)</x:f>
        <x:v>58.3</x:v>
      </x:c>
      <x:c r="D97" s="23" t="n">
        <x:f>SUM(Results!G1054:G1057)</x:f>
        <x:v>56.849999999999994</x:v>
      </x:c>
      <x:c r="E97" s="23" t="n">
        <x:f>AVERAGE(B97:D97)</x:f>
        <x:v>57.23333333333333</x:v>
      </x:c>
      <x:c r="F97" s="25" t="str">
        <x:f>IF(E97&gt;=80,"HD/D range",IF(E97&gt;=70,"D range",IF(E97&gt;=60,"C range",IF(E97&gt;=50,"P range","At risk"))))</x:f>
        <x:v>P range</x:v>
      </x:c>
    </x:row>
    <x:row r="98" ht="15" hidden="0" customHeight="1">
      <x:c r="A98" s="22" t="str">
        <x:v>STU0097</x:v>
      </x:c>
      <x:c r="B98" s="23" t="n">
        <x:f>SUM(Results!G1058:G1061)</x:f>
        <x:v>73.45</x:v>
      </x:c>
      <x:c r="C98" s="23" t="n">
        <x:f>SUM(Results!G1062:G1064)</x:f>
        <x:v>75.9</x:v>
      </x:c>
      <x:c r="D98" s="23" t="n">
        <x:f>SUM(Results!G1065:G1068)</x:f>
        <x:v>76.7</x:v>
      </x:c>
      <x:c r="E98" s="23" t="n">
        <x:f>AVERAGE(B98:D98)</x:f>
        <x:v>75.35000000000001</x:v>
      </x:c>
      <x:c r="F98" s="25" t="str">
        <x:f>IF(E98&gt;=80,"HD/D range",IF(E98&gt;=70,"D range",IF(E98&gt;=60,"C range",IF(E98&gt;=50,"P range","At risk"))))</x:f>
        <x:v>D range</x:v>
      </x:c>
    </x:row>
    <x:row r="99" ht="15" hidden="0" customHeight="1">
      <x:c r="A99" s="22" t="str">
        <x:v>STU0098</x:v>
      </x:c>
      <x:c r="B99" s="23" t="n">
        <x:f>SUM(Results!G1069:G1072)</x:f>
        <x:v>81</x:v>
      </x:c>
      <x:c r="C99" s="23" t="n">
        <x:f>SUM(Results!G1073:G1075)</x:f>
        <x:v>75</x:v>
      </x:c>
      <x:c r="D99" s="23" t="n">
        <x:f>SUM(Results!G1076:G1079)</x:f>
        <x:v>82.55</x:v>
      </x:c>
      <x:c r="E99" s="23" t="n">
        <x:f>AVERAGE(B99:D99)</x:f>
        <x:v>79.51666666666667</x:v>
      </x:c>
      <x:c r="F99" s="25" t="str">
        <x:f>IF(E99&gt;=80,"HD/D range",IF(E99&gt;=70,"D range",IF(E99&gt;=60,"C range",IF(E99&gt;=50,"P range","At risk"))))</x:f>
        <x:v>D range</x:v>
      </x:c>
    </x:row>
    <x:row r="100" ht="15" hidden="0" customHeight="1">
      <x:c r="A100" s="22" t="str">
        <x:v>STU0099</x:v>
      </x:c>
      <x:c r="B100" s="23" t="n">
        <x:f>SUM(Results!G1080:G1083)</x:f>
        <x:v>63.10000000000001</x:v>
      </x:c>
      <x:c r="C100" s="23" t="n">
        <x:f>SUM(Results!G1084:G1086)</x:f>
        <x:v>62.1</x:v>
      </x:c>
      <x:c r="D100" s="23" t="n">
        <x:f>SUM(Results!G1087:G1090)</x:f>
        <x:v>59.599999999999994</x:v>
      </x:c>
      <x:c r="E100" s="23" t="n">
        <x:f>AVERAGE(B100:D100)</x:f>
        <x:v>61.6</x:v>
      </x:c>
      <x:c r="F100" s="25" t="str">
        <x:f>IF(E100&gt;=80,"HD/D range",IF(E100&gt;=70,"D range",IF(E100&gt;=60,"C range",IF(E100&gt;=50,"P range","At risk"))))</x:f>
        <x:v>C range</x:v>
      </x:c>
    </x:row>
    <x:row r="101" ht="15" hidden="0" customHeight="1">
      <x:c r="A101" s="22" t="str">
        <x:v>STU0100</x:v>
      </x:c>
      <x:c r="B101" s="23" t="n">
        <x:f>SUM(Results!G1091:G1094)</x:f>
        <x:v>58.6</x:v>
      </x:c>
      <x:c r="C101" s="23" t="n">
        <x:f>SUM(Results!G1095:G1097)</x:f>
        <x:v>59.7</x:v>
      </x:c>
      <x:c r="D101" s="23" t="n">
        <x:f>SUM(Results!G1098:G1101)</x:f>
        <x:v>57.650000000000006</x:v>
      </x:c>
      <x:c r="E101" s="23" t="n">
        <x:f>AVERAGE(B101:D101)</x:f>
        <x:v>58.650000000000006</x:v>
      </x:c>
      <x:c r="F101" s="25" t="str">
        <x:f>IF(E101&gt;=80,"HD/D range",IF(E101&gt;=70,"D range",IF(E101&gt;=60,"C range",IF(E101&gt;=50,"P range","At risk"))))</x:f>
        <x:v>P range</x:v>
      </x:c>
    </x:row>
    <x:row r="102" ht="15" hidden="0" customHeight="1">
      <x:c r="A102" s="22" t="str">
        <x:v>STU0101</x:v>
      </x:c>
      <x:c r="B102" s="23" t="n">
        <x:f>SUM(Results!G1102:G1105)</x:f>
        <x:v>63.65</x:v>
      </x:c>
      <x:c r="C102" s="23" t="n">
        <x:f>SUM(Results!G1106:G1108)</x:f>
        <x:v>67.7</x:v>
      </x:c>
      <x:c r="D102" s="23" t="n">
        <x:f>SUM(Results!G1109:G1112)</x:f>
        <x:v>61.400000000000006</x:v>
      </x:c>
      <x:c r="E102" s="23" t="n">
        <x:f>AVERAGE(B102:D102)</x:f>
        <x:v>64.25</x:v>
      </x:c>
      <x:c r="F102" s="25" t="str">
        <x:f>IF(E102&gt;=80,"HD/D range",IF(E102&gt;=70,"D range",IF(E102&gt;=60,"C range",IF(E102&gt;=50,"P range","At risk"))))</x:f>
        <x:v>C range</x:v>
      </x:c>
    </x:row>
    <x:row r="103" ht="15" hidden="0" customHeight="1">
      <x:c r="A103" s="22" t="str">
        <x:v>STU0102</x:v>
      </x:c>
      <x:c r="B103" s="23" t="n">
        <x:f>SUM(Results!G1113:G1116)</x:f>
        <x:v>84.55000000000001</x:v>
      </x:c>
      <x:c r="C103" s="23" t="n">
        <x:f>SUM(Results!G1117:G1119)</x:f>
        <x:v>88.5</x:v>
      </x:c>
      <x:c r="D103" s="23" t="n">
        <x:f>SUM(Results!G1120:G1123)</x:f>
        <x:v>86.6</x:v>
      </x:c>
      <x:c r="E103" s="23" t="n">
        <x:f>AVERAGE(B103:D103)</x:f>
        <x:v>86.55</x:v>
      </x:c>
      <x:c r="F103" s="25" t="str">
        <x:f>IF(E103&gt;=80,"HD/D range",IF(E103&gt;=70,"D range",IF(E103&gt;=60,"C range",IF(E103&gt;=50,"P range","At risk"))))</x:f>
        <x:v>HD/D range</x:v>
      </x:c>
    </x:row>
    <x:row r="104" ht="15" hidden="0" customHeight="1">
      <x:c r="A104" s="22" t="str">
        <x:v>STU0103</x:v>
      </x:c>
      <x:c r="B104" s="23" t="n">
        <x:f>SUM(Results!G1124:G1127)</x:f>
        <x:v>76.4</x:v>
      </x:c>
      <x:c r="C104" s="23" t="n">
        <x:f>SUM(Results!G1128:G1130)</x:f>
        <x:v>77.9</x:v>
      </x:c>
      <x:c r="D104" s="23" t="n">
        <x:f>SUM(Results!G1131:G1134)</x:f>
        <x:v>73.75</x:v>
      </x:c>
      <x:c r="E104" s="23" t="n">
        <x:f>AVERAGE(B104:D104)</x:f>
        <x:v>76.01666666666667</x:v>
      </x:c>
      <x:c r="F104" s="25" t="str">
        <x:f>IF(E104&gt;=80,"HD/D range",IF(E104&gt;=70,"D range",IF(E104&gt;=60,"C range",IF(E104&gt;=50,"P range","At risk"))))</x:f>
        <x:v>D range</x:v>
      </x:c>
    </x:row>
    <x:row r="105" ht="15" hidden="0" customHeight="1">
      <x:c r="A105" s="22" t="str">
        <x:v>STU0104</x:v>
      </x:c>
      <x:c r="B105" s="23" t="n">
        <x:f>SUM(Results!G1135:G1138)</x:f>
        <x:v>79.1</x:v>
      </x:c>
      <x:c r="C105" s="23" t="n">
        <x:f>SUM(Results!G1139:G1141)</x:f>
        <x:v>73.8</x:v>
      </x:c>
      <x:c r="D105" s="23" t="n">
        <x:f>SUM(Results!G1142:G1145)</x:f>
        <x:v>77.35</x:v>
      </x:c>
      <x:c r="E105" s="23" t="n">
        <x:f>AVERAGE(B105:D105)</x:f>
        <x:v>76.74999999999999</x:v>
      </x:c>
      <x:c r="F105" s="25" t="str">
        <x:f>IF(E105&gt;=80,"HD/D range",IF(E105&gt;=70,"D range",IF(E105&gt;=60,"C range",IF(E105&gt;=50,"P range","At risk"))))</x:f>
        <x:v>D range</x:v>
      </x:c>
    </x:row>
    <x:row r="106" ht="15" hidden="0" customHeight="1">
      <x:c r="A106" s="22" t="str">
        <x:v>STU0105</x:v>
      </x:c>
      <x:c r="B106" s="23" t="n">
        <x:f>SUM(Results!G1146:G1149)</x:f>
        <x:v>69.5</x:v>
      </x:c>
      <x:c r="C106" s="23" t="n">
        <x:f>SUM(Results!G1150:G1152)</x:f>
        <x:v>72.3</x:v>
      </x:c>
      <x:c r="D106" s="23" t="n">
        <x:f>SUM(Results!G1153:G1156)</x:f>
        <x:v>69.05</x:v>
      </x:c>
      <x:c r="E106" s="23" t="n">
        <x:f>AVERAGE(B106:D106)</x:f>
        <x:v>70.28333333333335</x:v>
      </x:c>
      <x:c r="F106" s="25" t="str">
        <x:f>IF(E106&gt;=80,"HD/D range",IF(E106&gt;=70,"D range",IF(E106&gt;=60,"C range",IF(E106&gt;=50,"P range","At risk"))))</x:f>
        <x:v>D range</x:v>
      </x:c>
    </x:row>
    <x:row r="107" ht="15" hidden="0" customHeight="1">
      <x:c r="A107" s="22" t="str">
        <x:v>STU0106</x:v>
      </x:c>
      <x:c r="B107" s="23" t="n">
        <x:f>SUM(Results!G1157:G1160)</x:f>
        <x:v>75</x:v>
      </x:c>
      <x:c r="C107" s="23" t="n">
        <x:f>SUM(Results!G1161:G1163)</x:f>
        <x:v>78.8</x:v>
      </x:c>
      <x:c r="D107" s="23" t="n">
        <x:f>SUM(Results!G1164:G1167)</x:f>
        <x:v>81.14999999999999</x:v>
      </x:c>
      <x:c r="E107" s="23" t="n">
        <x:f>AVERAGE(B107:D107)</x:f>
        <x:v>78.31666666666666</x:v>
      </x:c>
      <x:c r="F107" s="25" t="str">
        <x:f>IF(E107&gt;=80,"HD/D range",IF(E107&gt;=70,"D range",IF(E107&gt;=60,"C range",IF(E107&gt;=50,"P range","At risk"))))</x:f>
        <x:v>D range</x:v>
      </x:c>
    </x:row>
    <x:row r="108" ht="15" hidden="0" customHeight="1">
      <x:c r="A108" s="22" t="str">
        <x:v>STU0107</x:v>
      </x:c>
      <x:c r="B108" s="23" t="n">
        <x:f>SUM(Results!G1168:G1171)</x:f>
        <x:v>84.55000000000001</x:v>
      </x:c>
      <x:c r="C108" s="23" t="n">
        <x:f>SUM(Results!G1172:G1174)</x:f>
        <x:v>90</x:v>
      </x:c>
      <x:c r="D108" s="23" t="n">
        <x:f>SUM(Results!G1175:G1178)</x:f>
        <x:v>86.9</x:v>
      </x:c>
      <x:c r="E108" s="23" t="n">
        <x:f>AVERAGE(B108:D108)</x:f>
        <x:v>87.15000000000002</x:v>
      </x:c>
      <x:c r="F108" s="25" t="str">
        <x:f>IF(E108&gt;=80,"HD/D range",IF(E108&gt;=70,"D range",IF(E108&gt;=60,"C range",IF(E108&gt;=50,"P range","At risk"))))</x:f>
        <x:v>HD/D range</x:v>
      </x:c>
    </x:row>
    <x:row r="109" ht="15" hidden="0" customHeight="1">
      <x:c r="A109" s="22" t="str">
        <x:v>STU0108</x:v>
      </x:c>
      <x:c r="B109" s="23" t="n">
        <x:f>SUM(Results!G1179:G1182)</x:f>
        <x:v>51.55</x:v>
      </x:c>
      <x:c r="C109" s="23" t="n">
        <x:f>SUM(Results!G1183:G1185)</x:f>
        <x:v>51.2</x:v>
      </x:c>
      <x:c r="D109" s="23" t="n">
        <x:f>SUM(Results!G1186:G1189)</x:f>
        <x:v>52.8</x:v>
      </x:c>
      <x:c r="E109" s="23" t="n">
        <x:f>AVERAGE(B109:D109)</x:f>
        <x:v>51.85</x:v>
      </x:c>
      <x:c r="F109" s="25" t="str">
        <x:f>IF(E109&gt;=80,"HD/D range",IF(E109&gt;=70,"D range",IF(E109&gt;=60,"C range",IF(E109&gt;=50,"P range","At risk"))))</x:f>
        <x:v>P range</x:v>
      </x:c>
    </x:row>
    <x:row r="110" ht="15" hidden="0" customHeight="1">
      <x:c r="A110" s="22" t="str">
        <x:v>STU0109</x:v>
      </x:c>
      <x:c r="B110" s="23" t="n">
        <x:f>SUM(Results!G1190:G1193)</x:f>
        <x:v>69</x:v>
      </x:c>
      <x:c r="C110" s="23" t="n">
        <x:f>SUM(Results!G1194:G1196)</x:f>
        <x:v>68.1</x:v>
      </x:c>
      <x:c r="D110" s="23" t="n">
        <x:f>SUM(Results!G1197:G1200)</x:f>
        <x:v>69.4</x:v>
      </x:c>
      <x:c r="E110" s="23" t="n">
        <x:f>AVERAGE(B110:D110)</x:f>
        <x:v>68.83333333333333</x:v>
      </x:c>
      <x:c r="F110" s="25" t="str">
        <x:f>IF(E110&gt;=80,"HD/D range",IF(E110&gt;=70,"D range",IF(E110&gt;=60,"C range",IF(E110&gt;=50,"P range","At risk"))))</x:f>
        <x:v>C range</x:v>
      </x:c>
    </x:row>
    <x:row r="111" ht="15" hidden="0" customHeight="1">
      <x:c r="A111" s="22" t="str">
        <x:v>STU0110</x:v>
      </x:c>
      <x:c r="B111" s="23" t="n">
        <x:f>SUM(Results!G1201:G1204)</x:f>
        <x:v>66.25</x:v>
      </x:c>
      <x:c r="C111" s="23" t="n">
        <x:f>SUM(Results!G1205:G1207)</x:f>
        <x:v>65</x:v>
      </x:c>
      <x:c r="D111" s="23" t="n">
        <x:f>SUM(Results!G1208:G1211)</x:f>
        <x:v>65.25</x:v>
      </x:c>
      <x:c r="E111" s="23" t="n">
        <x:f>AVERAGE(B111:D111)</x:f>
        <x:v>65.5</x:v>
      </x:c>
      <x:c r="F111" s="25" t="str">
        <x:f>IF(E111&gt;=80,"HD/D range",IF(E111&gt;=70,"D range",IF(E111&gt;=60,"C range",IF(E111&gt;=50,"P range","At risk"))))</x:f>
        <x:v>C range</x:v>
      </x:c>
    </x:row>
    <x:row r="112" ht="15" hidden="0" customHeight="1">
      <x:c r="A112" s="22" t="str">
        <x:v>STU0111</x:v>
      </x:c>
      <x:c r="B112" s="23" t="n">
        <x:f>SUM(Results!G1212:G1215)</x:f>
        <x:v>69.55000000000001</x:v>
      </x:c>
      <x:c r="C112" s="23" t="n">
        <x:f>SUM(Results!G1216:G1218)</x:f>
        <x:v>71.5</x:v>
      </x:c>
      <x:c r="D112" s="23" t="n">
        <x:f>SUM(Results!G1219:G1222)</x:f>
        <x:v>65.55</x:v>
      </x:c>
      <x:c r="E112" s="23" t="n">
        <x:f>AVERAGE(B112:D112)</x:f>
        <x:v>68.86666666666667</x:v>
      </x:c>
      <x:c r="F112" s="25" t="str">
        <x:f>IF(E112&gt;=80,"HD/D range",IF(E112&gt;=70,"D range",IF(E112&gt;=60,"C range",IF(E112&gt;=50,"P range","At risk"))))</x:f>
        <x:v>C range</x:v>
      </x:c>
    </x:row>
    <x:row r="113" ht="15" hidden="0" customHeight="1">
      <x:c r="A113" s="22" t="str">
        <x:v>STU0112</x:v>
      </x:c>
      <x:c r="B113" s="23" t="n">
        <x:f>SUM(Results!G1223:G1226)</x:f>
        <x:v>82.7</x:v>
      </x:c>
      <x:c r="C113" s="23" t="n">
        <x:f>SUM(Results!G1227:G1229)</x:f>
        <x:v>78.2</x:v>
      </x:c>
      <x:c r="D113" s="23" t="n">
        <x:f>SUM(Results!G1230:G1233)</x:f>
        <x:v>77.44999999999999</x:v>
      </x:c>
      <x:c r="E113" s="23" t="n">
        <x:f>AVERAGE(B113:D113)</x:f>
        <x:v>79.45</x:v>
      </x:c>
      <x:c r="F113" s="25" t="str">
        <x:f>IF(E113&gt;=80,"HD/D range",IF(E113&gt;=70,"D range",IF(E113&gt;=60,"C range",IF(E113&gt;=50,"P range","At risk"))))</x:f>
        <x:v>D range</x:v>
      </x:c>
    </x:row>
    <x:row r="114" ht="15" hidden="0" customHeight="1">
      <x:c r="A114" s="22" t="str">
        <x:v>STU0113</x:v>
      </x:c>
      <x:c r="B114" s="23" t="n">
        <x:f>SUM(Results!G1234:G1237)</x:f>
        <x:v>82.6</x:v>
      </x:c>
      <x:c r="C114" s="23" t="n">
        <x:f>SUM(Results!G1238:G1240)</x:f>
        <x:v>80.5</x:v>
      </x:c>
      <x:c r="D114" s="23" t="n">
        <x:f>SUM(Results!G1241:G1244)</x:f>
        <x:v>85.35</x:v>
      </x:c>
      <x:c r="E114" s="23" t="n">
        <x:f>AVERAGE(B114:D114)</x:f>
        <x:v>82.81666666666666</x:v>
      </x:c>
      <x:c r="F114" s="25" t="str">
        <x:f>IF(E114&gt;=80,"HD/D range",IF(E114&gt;=70,"D range",IF(E114&gt;=60,"C range",IF(E114&gt;=50,"P range","At risk"))))</x:f>
        <x:v>HD/D range</x:v>
      </x:c>
    </x:row>
    <x:row r="115" ht="15" hidden="0" customHeight="1">
      <x:c r="A115" s="22" t="str">
        <x:v>STU0114</x:v>
      </x:c>
      <x:c r="B115" s="23" t="n">
        <x:f>SUM(Results!G1245:G1248)</x:f>
        <x:v>68.25</x:v>
      </x:c>
      <x:c r="C115" s="23" t="n">
        <x:f>SUM(Results!G1249:G1251)</x:f>
        <x:v>69.3</x:v>
      </x:c>
      <x:c r="D115" s="23" t="n">
        <x:f>SUM(Results!G1252:G1255)</x:f>
        <x:v>66.64999999999999</x:v>
      </x:c>
      <x:c r="E115" s="23" t="n">
        <x:f>AVERAGE(B115:D115)</x:f>
        <x:v>68.06666666666666</x:v>
      </x:c>
      <x:c r="F115" s="25" t="str">
        <x:f>IF(E115&gt;=80,"HD/D range",IF(E115&gt;=70,"D range",IF(E115&gt;=60,"C range",IF(E115&gt;=50,"P range","At risk"))))</x:f>
        <x:v>C range</x:v>
      </x:c>
    </x:row>
    <x:row r="116" ht="15" hidden="0" customHeight="1">
      <x:c r="A116" s="22" t="str">
        <x:v>STU0115</x:v>
      </x:c>
      <x:c r="B116" s="23" t="n">
        <x:f>SUM(Results!G1256:G1259)</x:f>
        <x:v>58.150000000000006</x:v>
      </x:c>
      <x:c r="C116" s="23" t="n">
        <x:f>SUM(Results!G1260:G1262)</x:f>
        <x:v>56.7</x:v>
      </x:c>
      <x:c r="D116" s="23" t="n">
        <x:f>SUM(Results!G1263:G1266)</x:f>
        <x:v>55.199999999999996</x:v>
      </x:c>
      <x:c r="E116" s="23" t="n">
        <x:f>AVERAGE(B116:D116)</x:f>
        <x:v>56.68333333333334</x:v>
      </x:c>
      <x:c r="F116" s="25" t="str">
        <x:f>IF(E116&gt;=80,"HD/D range",IF(E116&gt;=70,"D range",IF(E116&gt;=60,"C range",IF(E116&gt;=50,"P range","At risk"))))</x:f>
        <x:v>P range</x:v>
      </x:c>
    </x:row>
    <x:row r="117" ht="15" hidden="0" customHeight="1">
      <x:c r="A117" s="22" t="str">
        <x:v>STU0116</x:v>
      </x:c>
      <x:c r="B117" s="23" t="n">
        <x:f>SUM(Results!G1267:G1270)</x:f>
        <x:v>69.75</x:v>
      </x:c>
      <x:c r="C117" s="23" t="n">
        <x:f>SUM(Results!G1271:G1273)</x:f>
        <x:v>66.8</x:v>
      </x:c>
      <x:c r="D117" s="23" t="n">
        <x:f>SUM(Results!G1274:G1277)</x:f>
        <x:v>70.2</x:v>
      </x:c>
      <x:c r="E117" s="23" t="n">
        <x:f>AVERAGE(B117:D117)</x:f>
        <x:v>68.91666666666667</x:v>
      </x:c>
      <x:c r="F117" s="25" t="str">
        <x:f>IF(E117&gt;=80,"HD/D range",IF(E117&gt;=70,"D range",IF(E117&gt;=60,"C range",IF(E117&gt;=50,"P range","At risk"))))</x:f>
        <x:v>C range</x:v>
      </x:c>
    </x:row>
    <x:row r="118" ht="15" hidden="0" customHeight="1">
      <x:c r="A118" s="22" t="str">
        <x:v>STU0117</x:v>
      </x:c>
      <x:c r="B118" s="23" t="n">
        <x:f>SUM(Results!G1278:G1281)</x:f>
        <x:v>74.1</x:v>
      </x:c>
      <x:c r="C118" s="23" t="n">
        <x:f>SUM(Results!G1282:G1284)</x:f>
        <x:v>74.4</x:v>
      </x:c>
      <x:c r="D118" s="23" t="n">
        <x:f>SUM(Results!G1285:G1288)</x:f>
        <x:v>71.9</x:v>
      </x:c>
      <x:c r="E118" s="23" t="n">
        <x:f>AVERAGE(B118:D118)</x:f>
        <x:v>73.46666666666667</x:v>
      </x:c>
      <x:c r="F118" s="25" t="str">
        <x:f>IF(E118&gt;=80,"HD/D range",IF(E118&gt;=70,"D range",IF(E118&gt;=60,"C range",IF(E118&gt;=50,"P range","At risk"))))</x:f>
        <x:v>D range</x:v>
      </x:c>
    </x:row>
    <x:row r="119" ht="15" hidden="0" customHeight="1">
      <x:c r="A119" s="22" t="str">
        <x:v>STU0118</x:v>
      </x:c>
      <x:c r="B119" s="23" t="n">
        <x:f>SUM(Results!G1289:G1292)</x:f>
        <x:v>52.8</x:v>
      </x:c>
      <x:c r="C119" s="23" t="n">
        <x:f>SUM(Results!G1293:G1295)</x:f>
        <x:v>58.5</x:v>
      </x:c>
      <x:c r="D119" s="23" t="n">
        <x:f>SUM(Results!G1296:G1299)</x:f>
        <x:v>53.85</x:v>
      </x:c>
      <x:c r="E119" s="23" t="n">
        <x:f>AVERAGE(B119:D119)</x:f>
        <x:v>55.050000000000004</x:v>
      </x:c>
      <x:c r="F119" s="25" t="str">
        <x:f>IF(E119&gt;=80,"HD/D range",IF(E119&gt;=70,"D range",IF(E119&gt;=60,"C range",IF(E119&gt;=50,"P range","At risk"))))</x:f>
        <x:v>P range</x:v>
      </x:c>
    </x:row>
    <x:row r="120" ht="15" hidden="0" customHeight="1">
      <x:c r="A120" s="22" t="str">
        <x:v>STU0119</x:v>
      </x:c>
      <x:c r="B120" s="23" t="n">
        <x:f>SUM(Results!G1300:G1303)</x:f>
        <x:v>92.35</x:v>
      </x:c>
      <x:c r="C120" s="23" t="n">
        <x:f>SUM(Results!G1304:G1306)</x:f>
        <x:v>88.3</x:v>
      </x:c>
      <x:c r="D120" s="23" t="n">
        <x:f>SUM(Results!G1307:G1310)</x:f>
        <x:v>91.4</x:v>
      </x:c>
      <x:c r="E120" s="23" t="n">
        <x:f>AVERAGE(B120:D120)</x:f>
        <x:v>90.68333333333332</x:v>
      </x:c>
      <x:c r="F120" s="25" t="str">
        <x:f>IF(E120&gt;=80,"HD/D range",IF(E120&gt;=70,"D range",IF(E120&gt;=60,"C range",IF(E120&gt;=50,"P range","At risk"))))</x:f>
        <x:v>HD/D range</x:v>
      </x:c>
    </x:row>
    <x:row r="121" ht="15" hidden="0" customHeight="1">
      <x:c r="A121" s="22" t="str">
        <x:v>STU0120</x:v>
      </x:c>
      <x:c r="B121" s="23" t="n">
        <x:f>SUM(Results!G1311:G1314)</x:f>
        <x:v>87.05000000000001</x:v>
      </x:c>
      <x:c r="C121" s="23" t="n">
        <x:f>SUM(Results!G1315:G1317)</x:f>
        <x:v>88.8</x:v>
      </x:c>
      <x:c r="D121" s="23" t="n">
        <x:f>SUM(Results!G1318:G1321)</x:f>
        <x:v>90</x:v>
      </x:c>
      <x:c r="E121" s="23" t="n">
        <x:f>AVERAGE(B121:D121)</x:f>
        <x:v>88.61666666666667</x:v>
      </x:c>
      <x:c r="F121" s="25" t="str">
        <x:f>IF(E121&gt;=80,"HD/D range",IF(E121&gt;=70,"D range",IF(E121&gt;=60,"C range",IF(E121&gt;=50,"P range","At risk"))))</x:f>
        <x:v>HD/D range</x:v>
      </x:c>
    </x:row>
    <x:row r="122" ht="15" hidden="0" customHeight="1">
      <x:c r="A122" s="22" t="str">
        <x:v>STU0121</x:v>
      </x:c>
      <x:c r="B122" s="23" t="n">
        <x:f>SUM(Results!G1322:G1325)</x:f>
        <x:v>63.650000000000006</x:v>
      </x:c>
      <x:c r="C122" s="23" t="n">
        <x:f>SUM(Results!G1326:G1328)</x:f>
        <x:v>65.6</x:v>
      </x:c>
      <x:c r="D122" s="23" t="n">
        <x:f>SUM(Results!G1329:G1332)</x:f>
        <x:v>65.8</x:v>
      </x:c>
      <x:c r="E122" s="23" t="n">
        <x:f>AVERAGE(B122:D122)</x:f>
        <x:v>65.01666666666667</x:v>
      </x:c>
      <x:c r="F122" s="25" t="str">
        <x:f>IF(E122&gt;=80,"HD/D range",IF(E122&gt;=70,"D range",IF(E122&gt;=60,"C range",IF(E122&gt;=50,"P range","At risk"))))</x:f>
        <x:v>C range</x:v>
      </x:c>
    </x:row>
    <x:row r="123" ht="15" hidden="0" customHeight="1">
      <x:c r="A123" s="22" t="str">
        <x:v>STU0122</x:v>
      </x:c>
      <x:c r="B123" s="23" t="n">
        <x:f>SUM(Results!G1333:G1336)</x:f>
        <x:v>70.35000000000001</x:v>
      </x:c>
      <x:c r="C123" s="23" t="n">
        <x:f>SUM(Results!G1337:G1339)</x:f>
        <x:v>68.5</x:v>
      </x:c>
      <x:c r="D123" s="23" t="n">
        <x:f>SUM(Results!G1340:G1343)</x:f>
        <x:v>69.55</x:v>
      </x:c>
      <x:c r="E123" s="23" t="n">
        <x:f>AVERAGE(B123:D123)</x:f>
        <x:v>69.46666666666668</x:v>
      </x:c>
      <x:c r="F123" s="25" t="str">
        <x:f>IF(E123&gt;=80,"HD/D range",IF(E123&gt;=70,"D range",IF(E123&gt;=60,"C range",IF(E123&gt;=50,"P range","At risk"))))</x:f>
        <x:v>C range</x:v>
      </x:c>
    </x:row>
    <x:row r="124" ht="15" hidden="0" customHeight="1">
      <x:c r="A124" s="22" t="str">
        <x:v>STU0123</x:v>
      </x:c>
      <x:c r="B124" s="23" t="n">
        <x:f>SUM(Results!G1344:G1347)</x:f>
        <x:v>64.85</x:v>
      </x:c>
      <x:c r="C124" s="23" t="n">
        <x:f>SUM(Results!G1348:G1350)</x:f>
        <x:v>69.9</x:v>
      </x:c>
      <x:c r="D124" s="23" t="n">
        <x:f>SUM(Results!G1351:G1354)</x:f>
        <x:v>71.75</x:v>
      </x:c>
      <x:c r="E124" s="23" t="n">
        <x:f>AVERAGE(B124:D124)</x:f>
        <x:v>68.83333333333333</x:v>
      </x:c>
      <x:c r="F124" s="25" t="str">
        <x:f>IF(E124&gt;=80,"HD/D range",IF(E124&gt;=70,"D range",IF(E124&gt;=60,"C range",IF(E124&gt;=50,"P range","At risk"))))</x:f>
        <x:v>C range</x:v>
      </x:c>
    </x:row>
    <x:row r="125" ht="15" hidden="0" customHeight="1">
      <x:c r="A125" s="22" t="str">
        <x:v>STU0124</x:v>
      </x:c>
      <x:c r="B125" s="23" t="n">
        <x:f>SUM(Results!G1355:G1358)</x:f>
        <x:v>63.400000000000006</x:v>
      </x:c>
      <x:c r="C125" s="23" t="n">
        <x:f>SUM(Results!G1359:G1361)</x:f>
        <x:v>61.5</x:v>
      </x:c>
      <x:c r="D125" s="23" t="n">
        <x:f>SUM(Results!G1362:G1365)</x:f>
        <x:v>62.89999999999999</x:v>
      </x:c>
      <x:c r="E125" s="23" t="n">
        <x:f>AVERAGE(B125:D125)</x:f>
        <x:v>62.6</x:v>
      </x:c>
      <x:c r="F125" s="25" t="str">
        <x:f>IF(E125&gt;=80,"HD/D range",IF(E125&gt;=70,"D range",IF(E125&gt;=60,"C range",IF(E125&gt;=50,"P range","At risk"))))</x:f>
        <x:v>C range</x:v>
      </x:c>
    </x:row>
    <x:row r="126" ht="15" hidden="0" customHeight="1">
      <x:c r="A126" s="22" t="str">
        <x:v>STU0125</x:v>
      </x:c>
      <x:c r="B126" s="23" t="n">
        <x:f>SUM(Results!G1366:G1369)</x:f>
        <x:v>69.35</x:v>
      </x:c>
      <x:c r="C126" s="23" t="n">
        <x:f>SUM(Results!G1370:G1372)</x:f>
        <x:v>67.5</x:v>
      </x:c>
      <x:c r="D126" s="23" t="n">
        <x:f>SUM(Results!G1373:G1376)</x:f>
        <x:v>68.05</x:v>
      </x:c>
      <x:c r="E126" s="23" t="n">
        <x:f>AVERAGE(B126:D126)</x:f>
        <x:v>68.3</x:v>
      </x:c>
      <x:c r="F126" s="25" t="str">
        <x:f>IF(E126&gt;=80,"HD/D range",IF(E126&gt;=70,"D range",IF(E126&gt;=60,"C range",IF(E126&gt;=50,"P range","At risk"))))</x:f>
        <x:v>C range</x:v>
      </x:c>
    </x:row>
    <x:row r="127" ht="15" hidden="0" customHeight="1">
      <x:c r="A127" s="22" t="str">
        <x:v>STU0126</x:v>
      </x:c>
      <x:c r="B127" s="23" t="n">
        <x:f>SUM(Results!G1377:G1380)</x:f>
        <x:v>50.95</x:v>
      </x:c>
      <x:c r="C127" s="23" t="n">
        <x:f>SUM(Results!G1381:G1383)</x:f>
        <x:v>53.2</x:v>
      </x:c>
      <x:c r="D127" s="23" t="n">
        <x:f>SUM(Results!G1384:G1387)</x:f>
        <x:v>55.599999999999994</x:v>
      </x:c>
      <x:c r="E127" s="23" t="n">
        <x:f>AVERAGE(B127:D127)</x:f>
        <x:v>53.25</x:v>
      </x:c>
      <x:c r="F127" s="25" t="str">
        <x:f>IF(E127&gt;=80,"HD/D range",IF(E127&gt;=70,"D range",IF(E127&gt;=60,"C range",IF(E127&gt;=50,"P range","At risk"))))</x:f>
        <x:v>P range</x:v>
      </x:c>
    </x:row>
    <x:row r="128" ht="15" hidden="0" customHeight="1">
      <x:c r="A128" s="22" t="str">
        <x:v>STU0127</x:v>
      </x:c>
      <x:c r="B128" s="23" t="n">
        <x:f>SUM(Results!G1388:G1391)</x:f>
        <x:v>80.35</x:v>
      </x:c>
      <x:c r="C128" s="23" t="n">
        <x:f>SUM(Results!G1392:G1394)</x:f>
        <x:v>82.6</x:v>
      </x:c>
      <x:c r="D128" s="23" t="n">
        <x:f>SUM(Results!G1395:G1398)</x:f>
        <x:v>85.3</x:v>
      </x:c>
      <x:c r="E128" s="23" t="n">
        <x:f>AVERAGE(B128:D128)</x:f>
        <x:v>82.75</x:v>
      </x:c>
      <x:c r="F128" s="25" t="str">
        <x:f>IF(E128&gt;=80,"HD/D range",IF(E128&gt;=70,"D range",IF(E128&gt;=60,"C range",IF(E128&gt;=50,"P range","At risk"))))</x:f>
        <x:v>HD/D range</x:v>
      </x:c>
    </x:row>
    <x:row r="129" ht="15" hidden="0" customHeight="1">
      <x:c r="A129" s="22" t="str">
        <x:v>STU0128</x:v>
      </x:c>
      <x:c r="B129" s="23" t="n">
        <x:f>SUM(Results!G1399:G1402)</x:f>
        <x:v>61.849999999999994</x:v>
      </x:c>
      <x:c r="C129" s="23" t="n">
        <x:f>SUM(Results!G1403:G1405)</x:f>
        <x:v>65.7</x:v>
      </x:c>
      <x:c r="D129" s="23" t="n">
        <x:f>SUM(Results!G1406:G1409)</x:f>
        <x:v>66.55</x:v>
      </x:c>
      <x:c r="E129" s="23" t="n">
        <x:f>AVERAGE(B129:D129)</x:f>
        <x:v>64.7</x:v>
      </x:c>
      <x:c r="F129" s="25" t="str">
        <x:f>IF(E129&gt;=80,"HD/D range",IF(E129&gt;=70,"D range",IF(E129&gt;=60,"C range",IF(E129&gt;=50,"P range","At risk"))))</x:f>
        <x:v>C range</x:v>
      </x:c>
    </x:row>
    <x:row r="130" ht="15" hidden="0" customHeight="1">
      <x:c r="A130" s="22" t="str">
        <x:v>STU0129</x:v>
      </x:c>
      <x:c r="B130" s="23" t="n">
        <x:f>SUM(Results!G1410:G1413)</x:f>
        <x:v>73.95</x:v>
      </x:c>
      <x:c r="C130" s="23" t="n">
        <x:f>SUM(Results!G1414:G1416)</x:f>
        <x:v>72.7</x:v>
      </x:c>
      <x:c r="D130" s="23" t="n">
        <x:f>SUM(Results!G1417:G1420)</x:f>
        <x:v>78.75</x:v>
      </x:c>
      <x:c r="E130" s="23" t="n">
        <x:f>AVERAGE(B130:D130)</x:f>
        <x:v>75.13333333333334</x:v>
      </x:c>
      <x:c r="F130" s="25" t="str">
        <x:f>IF(E130&gt;=80,"HD/D range",IF(E130&gt;=70,"D range",IF(E130&gt;=60,"C range",IF(E130&gt;=50,"P range","At risk"))))</x:f>
        <x:v>D range</x:v>
      </x:c>
    </x:row>
    <x:row r="131" ht="15" hidden="0" customHeight="1">
      <x:c r="A131" s="22" t="str">
        <x:v>STU0130</x:v>
      </x:c>
      <x:c r="B131" s="23" t="n">
        <x:f>SUM(Results!G1421:G1424)</x:f>
        <x:v>48.25</x:v>
      </x:c>
      <x:c r="C131" s="23" t="n">
        <x:f>SUM(Results!G1425:G1427)</x:f>
        <x:v>45</x:v>
      </x:c>
      <x:c r="D131" s="23" t="n">
        <x:f>SUM(Results!G1428:G1431)</x:f>
        <x:v>48.25</x:v>
      </x:c>
      <x:c r="E131" s="23" t="n">
        <x:f>AVERAGE(B131:D131)</x:f>
        <x:v>47.166666666666664</x:v>
      </x:c>
      <x:c r="F131" s="25" t="str">
        <x:f>IF(E131&gt;=80,"HD/D range",IF(E131&gt;=70,"D range",IF(E131&gt;=60,"C range",IF(E131&gt;=50,"P range","At risk"))))</x:f>
        <x:v>At risk</x:v>
      </x:c>
    </x:row>
    <x:row r="132" ht="15" hidden="0" customHeight="1">
      <x:c r="A132" s="22" t="str">
        <x:v>STU0131</x:v>
      </x:c>
      <x:c r="B132" s="23" t="n">
        <x:f>SUM(Results!G1432:G1435)</x:f>
        <x:v>62.650000000000006</x:v>
      </x:c>
      <x:c r="C132" s="23" t="n">
        <x:f>SUM(Results!G1436:G1438)</x:f>
        <x:v>60</x:v>
      </x:c>
      <x:c r="D132" s="23" t="n">
        <x:f>SUM(Results!G1439:G1442)</x:f>
        <x:v>63.2</x:v>
      </x:c>
      <x:c r="E132" s="23" t="n">
        <x:f>AVERAGE(B132:D132)</x:f>
        <x:v>61.95000000000001</x:v>
      </x:c>
      <x:c r="F132" s="25" t="str">
        <x:f>IF(E132&gt;=80,"HD/D range",IF(E132&gt;=70,"D range",IF(E132&gt;=60,"C range",IF(E132&gt;=50,"P range","At risk"))))</x:f>
        <x:v>C range</x:v>
      </x:c>
    </x:row>
    <x:row r="133" ht="15" hidden="0" customHeight="1">
      <x:c r="A133" s="22" t="str">
        <x:v>STU0132</x:v>
      </x:c>
      <x:c r="B133" s="23" t="n">
        <x:f>SUM(Results!G1443:G1446)</x:f>
        <x:v>64.75</x:v>
      </x:c>
      <x:c r="C133" s="23" t="n">
        <x:f>SUM(Results!G1447:G1449)</x:f>
        <x:v>61.8</x:v>
      </x:c>
      <x:c r="D133" s="23" t="n">
        <x:f>SUM(Results!G1450:G1453)</x:f>
        <x:v>64.8</x:v>
      </x:c>
      <x:c r="E133" s="23" t="n">
        <x:f>AVERAGE(B133:D133)</x:f>
        <x:v>63.78333333333333</x:v>
      </x:c>
      <x:c r="F133" s="25" t="str">
        <x:f>IF(E133&gt;=80,"HD/D range",IF(E133&gt;=70,"D range",IF(E133&gt;=60,"C range",IF(E133&gt;=50,"P range","At risk"))))</x:f>
        <x:v>C range</x:v>
      </x:c>
    </x:row>
    <x:row r="134" ht="15" hidden="0" customHeight="1">
      <x:c r="A134" s="22" t="str">
        <x:v>STU0133</x:v>
      </x:c>
      <x:c r="B134" s="23" t="n">
        <x:f>SUM(Results!G1454:G1457)</x:f>
        <x:v>85.80000000000001</x:v>
      </x:c>
      <x:c r="C134" s="23" t="n">
        <x:f>SUM(Results!G1458:G1460)</x:f>
        <x:v>83.4</x:v>
      </x:c>
      <x:c r="D134" s="23" t="n">
        <x:f>SUM(Results!G1461:G1464)</x:f>
        <x:v>84.44999999999999</x:v>
      </x:c>
      <x:c r="E134" s="23" t="n">
        <x:f>AVERAGE(B134:D134)</x:f>
        <x:v>84.55</x:v>
      </x:c>
      <x:c r="F134" s="25" t="str">
        <x:f>IF(E134&gt;=80,"HD/D range",IF(E134&gt;=70,"D range",IF(E134&gt;=60,"C range",IF(E134&gt;=50,"P range","At risk"))))</x:f>
        <x:v>HD/D range</x:v>
      </x:c>
    </x:row>
    <x:row r="135" ht="15" hidden="0" customHeight="1">
      <x:c r="A135" s="22" t="str">
        <x:v>STU0134</x:v>
      </x:c>
      <x:c r="B135" s="23" t="n">
        <x:f>SUM(Results!G1465:G1468)</x:f>
        <x:v>60.3</x:v>
      </x:c>
      <x:c r="C135" s="23" t="n">
        <x:f>SUM(Results!G1469:G1471)</x:f>
        <x:v>61</x:v>
      </x:c>
      <x:c r="D135" s="23" t="n">
        <x:f>SUM(Results!G1472:G1475)</x:f>
        <x:v>59.95</x:v>
      </x:c>
      <x:c r="E135" s="23" t="n">
        <x:f>AVERAGE(B135:D135)</x:f>
        <x:v>60.416666666666664</x:v>
      </x:c>
      <x:c r="F135" s="25" t="str">
        <x:f>IF(E135&gt;=80,"HD/D range",IF(E135&gt;=70,"D range",IF(E135&gt;=60,"C range",IF(E135&gt;=50,"P range","At risk"))))</x:f>
        <x:v>C range</x:v>
      </x:c>
    </x:row>
    <x:row r="136" ht="15" hidden="0" customHeight="1">
      <x:c r="A136" s="22" t="str">
        <x:v>STU0135</x:v>
      </x:c>
      <x:c r="B136" s="23" t="n">
        <x:f>SUM(Results!G1476:G1479)</x:f>
        <x:v>62.2</x:v>
      </x:c>
      <x:c r="C136" s="23" t="n">
        <x:f>SUM(Results!G1480:G1482)</x:f>
        <x:v>55.1</x:v>
      </x:c>
      <x:c r="D136" s="23" t="n">
        <x:f>SUM(Results!G1483:G1486)</x:f>
        <x:v>59.4</x:v>
      </x:c>
      <x:c r="E136" s="23" t="n">
        <x:f>AVERAGE(B136:D136)</x:f>
        <x:v>58.900000000000006</x:v>
      </x:c>
      <x:c r="F136" s="25" t="str">
        <x:f>IF(E136&gt;=80,"HD/D range",IF(E136&gt;=70,"D range",IF(E136&gt;=60,"C range",IF(E136&gt;=50,"P range","At risk"))))</x:f>
        <x:v>P range</x:v>
      </x:c>
    </x:row>
    <x:row r="137" ht="15" hidden="0" customHeight="1">
      <x:c r="A137" s="22" t="str">
        <x:v>STU0136</x:v>
      </x:c>
      <x:c r="B137" s="23" t="n">
        <x:f>SUM(Results!G1487:G1490)</x:f>
        <x:v>47.95</x:v>
      </x:c>
      <x:c r="C137" s="23" t="n">
        <x:f>SUM(Results!G1491:G1493)</x:f>
        <x:v>48.6</x:v>
      </x:c>
      <x:c r="D137" s="23" t="n">
        <x:f>SUM(Results!G1494:G1497)</x:f>
        <x:v>46.25</x:v>
      </x:c>
      <x:c r="E137" s="23" t="n">
        <x:f>AVERAGE(B137:D137)</x:f>
        <x:v>47.6</x:v>
      </x:c>
      <x:c r="F137" s="25" t="str">
        <x:f>IF(E137&gt;=80,"HD/D range",IF(E137&gt;=70,"D range",IF(E137&gt;=60,"C range",IF(E137&gt;=50,"P range","At risk"))))</x:f>
        <x:v>At risk</x:v>
      </x:c>
    </x:row>
    <x:row r="138" ht="15" hidden="0" customHeight="1">
      <x:c r="A138" s="22" t="str">
        <x:v>STU0137</x:v>
      </x:c>
      <x:c r="B138" s="23" t="n">
        <x:f>SUM(Results!G1498:G1501)</x:f>
        <x:v>91.2</x:v>
      </x:c>
      <x:c r="C138" s="23" t="n">
        <x:f>SUM(Results!G1502:G1504)</x:f>
        <x:v>88.4</x:v>
      </x:c>
      <x:c r="D138" s="23" t="n">
        <x:f>SUM(Results!G1505:G1508)</x:f>
        <x:v>91.2</x:v>
      </x:c>
      <x:c r="E138" s="23" t="n">
        <x:f>AVERAGE(B138:D138)</x:f>
        <x:v>90.26666666666667</x:v>
      </x:c>
      <x:c r="F138" s="25" t="str">
        <x:f>IF(E138&gt;=80,"HD/D range",IF(E138&gt;=70,"D range",IF(E138&gt;=60,"C range",IF(E138&gt;=50,"P range","At risk"))))</x:f>
        <x:v>HD/D range</x:v>
      </x:c>
    </x:row>
    <x:row r="139" ht="15" hidden="0" customHeight="1">
      <x:c r="A139" s="22" t="str">
        <x:v>STU0138</x:v>
      </x:c>
      <x:c r="B139" s="23" t="n">
        <x:f>SUM(Results!G1509:G1512)</x:f>
        <x:v>71.5</x:v>
      </x:c>
      <x:c r="C139" s="23" t="n">
        <x:f>SUM(Results!G1513:G1515)</x:f>
        <x:v>65.7</x:v>
      </x:c>
      <x:c r="D139" s="23" t="n">
        <x:f>SUM(Results!G1516:G1519)</x:f>
        <x:v>68.7</x:v>
      </x:c>
      <x:c r="E139" s="23" t="n">
        <x:f>AVERAGE(B139:D139)</x:f>
        <x:v>68.63333333333333</x:v>
      </x:c>
      <x:c r="F139" s="25" t="str">
        <x:f>IF(E139&gt;=80,"HD/D range",IF(E139&gt;=70,"D range",IF(E139&gt;=60,"C range",IF(E139&gt;=50,"P range","At risk"))))</x:f>
        <x:v>C range</x:v>
      </x:c>
    </x:row>
    <x:row r="140" ht="15" hidden="0" customHeight="1">
      <x:c r="A140" s="22" t="str">
        <x:v>STU0139</x:v>
      </x:c>
      <x:c r="B140" s="23" t="n">
        <x:f>SUM(Results!G1520:G1523)</x:f>
        <x:v>60.35</x:v>
      </x:c>
      <x:c r="C140" s="23" t="n">
        <x:f>SUM(Results!G1524:G1526)</x:f>
        <x:v>60</x:v>
      </x:c>
      <x:c r="D140" s="23" t="n">
        <x:f>SUM(Results!G1527:G1530)</x:f>
        <x:v>63.150000000000006</x:v>
      </x:c>
      <x:c r="E140" s="23" t="n">
        <x:f>AVERAGE(B140:D140)</x:f>
        <x:v>61.166666666666664</x:v>
      </x:c>
      <x:c r="F140" s="25" t="str">
        <x:f>IF(E140&gt;=80,"HD/D range",IF(E140&gt;=70,"D range",IF(E140&gt;=60,"C range",IF(E140&gt;=50,"P range","At risk"))))</x:f>
        <x:v>C range</x:v>
      </x:c>
    </x:row>
    <x:row r="141" ht="15" hidden="0" customHeight="1">
      <x:c r="A141" s="22" t="str">
        <x:v>STU0140</x:v>
      </x:c>
      <x:c r="B141" s="23" t="n">
        <x:f>SUM(Results!G1531:G1534)</x:f>
        <x:v>55</x:v>
      </x:c>
      <x:c r="C141" s="23" t="n">
        <x:f>SUM(Results!G1535:G1537)</x:f>
        <x:v>54.9</x:v>
      </x:c>
      <x:c r="D141" s="23" t="n">
        <x:f>SUM(Results!G1538:G1541)</x:f>
        <x:v>58.199999999999996</x:v>
      </x:c>
      <x:c r="E141" s="23" t="n">
        <x:f>AVERAGE(B141:D141)</x:f>
        <x:v>56.03333333333333</x:v>
      </x:c>
      <x:c r="F141" s="25" t="str">
        <x:f>IF(E141&gt;=80,"HD/D range",IF(E141&gt;=70,"D range",IF(E141&gt;=60,"C range",IF(E141&gt;=50,"P range","At risk"))))</x:f>
        <x:v>P range</x:v>
      </x:c>
    </x:row>
    <x:row r="142" ht="15" hidden="0" customHeight="1">
      <x:c r="A142" s="22" t="str">
        <x:v>STU0141</x:v>
      </x:c>
      <x:c r="B142" s="23" t="n">
        <x:f>SUM(Results!G1542:G1545)</x:f>
        <x:v>65.75</x:v>
      </x:c>
      <x:c r="C142" s="23" t="n">
        <x:f>SUM(Results!G1546:G1548)</x:f>
        <x:v>66.6</x:v>
      </x:c>
      <x:c r="D142" s="23" t="n">
        <x:f>SUM(Results!G1549:G1552)</x:f>
        <x:v>63.7</x:v>
      </x:c>
      <x:c r="E142" s="23" t="n">
        <x:f>AVERAGE(B142:D142)</x:f>
        <x:v>65.35000000000001</x:v>
      </x:c>
      <x:c r="F142" s="25" t="str">
        <x:f>IF(E142&gt;=80,"HD/D range",IF(E142&gt;=70,"D range",IF(E142&gt;=60,"C range",IF(E142&gt;=50,"P range","At risk"))))</x:f>
        <x:v>C range</x:v>
      </x:c>
    </x:row>
    <x:row r="143" ht="15" hidden="0" customHeight="1">
      <x:c r="A143" s="22" t="str">
        <x:v>STU0142</x:v>
      </x:c>
      <x:c r="B143" s="23" t="n">
        <x:f>SUM(Results!G1553:G1556)</x:f>
        <x:v>66.2</x:v>
      </x:c>
      <x:c r="C143" s="23" t="n">
        <x:f>SUM(Results!G1557:G1559)</x:f>
        <x:v>69.4</x:v>
      </x:c>
      <x:c r="D143" s="23" t="n">
        <x:f>SUM(Results!G1560:G1563)</x:f>
        <x:v>67.6</x:v>
      </x:c>
      <x:c r="E143" s="23" t="n">
        <x:f>AVERAGE(B143:D143)</x:f>
        <x:v>67.73333333333333</x:v>
      </x:c>
      <x:c r="F143" s="25" t="str">
        <x:f>IF(E143&gt;=80,"HD/D range",IF(E143&gt;=70,"D range",IF(E143&gt;=60,"C range",IF(E143&gt;=50,"P range","At risk"))))</x:f>
        <x:v>C range</x:v>
      </x:c>
    </x:row>
    <x:row r="144" ht="15" hidden="0" customHeight="1">
      <x:c r="A144" s="22" t="str">
        <x:v>STU0143</x:v>
      </x:c>
      <x:c r="B144" s="23" t="n">
        <x:f>SUM(Results!G1564:G1567)</x:f>
        <x:v>66.85000000000001</x:v>
      </x:c>
      <x:c r="C144" s="23" t="n">
        <x:f>SUM(Results!G1568:G1570)</x:f>
        <x:v>67.4</x:v>
      </x:c>
      <x:c r="D144" s="23" t="n">
        <x:f>SUM(Results!G1571:G1574)</x:f>
        <x:v>72.85</x:v>
      </x:c>
      <x:c r="E144" s="23" t="n">
        <x:f>AVERAGE(B144:D144)</x:f>
        <x:v>69.03333333333333</x:v>
      </x:c>
      <x:c r="F144" s="25" t="str">
        <x:f>IF(E144&gt;=80,"HD/D range",IF(E144&gt;=70,"D range",IF(E144&gt;=60,"C range",IF(E144&gt;=50,"P range","At risk"))))</x:f>
        <x:v>C range</x:v>
      </x:c>
    </x:row>
    <x:row r="145" ht="15" hidden="0" customHeight="1">
      <x:c r="A145" s="22" t="str">
        <x:v>STU0144</x:v>
      </x:c>
      <x:c r="B145" s="23" t="n">
        <x:f>SUM(Results!G1575:G1578)</x:f>
        <x:v>73.7</x:v>
      </x:c>
      <x:c r="C145" s="23" t="n">
        <x:f>SUM(Results!G1579:G1581)</x:f>
        <x:v>74.8</x:v>
      </x:c>
      <x:c r="D145" s="23" t="n">
        <x:f>SUM(Results!G1582:G1585)</x:f>
        <x:v>77</x:v>
      </x:c>
      <x:c r="E145" s="23" t="n">
        <x:f>AVERAGE(B145:D145)</x:f>
        <x:v>75.16666666666667</x:v>
      </x:c>
      <x:c r="F145" s="25" t="str">
        <x:f>IF(E145&gt;=80,"HD/D range",IF(E145&gt;=70,"D range",IF(E145&gt;=60,"C range",IF(E145&gt;=50,"P range","At risk"))))</x:f>
        <x:v>D range</x:v>
      </x:c>
    </x:row>
    <x:row r="146" ht="15" hidden="0" customHeight="1">
      <x:c r="A146" s="22" t="str">
        <x:v>STU0145</x:v>
      </x:c>
      <x:c r="B146" s="23" t="n">
        <x:f>SUM(Results!G1586:G1589)</x:f>
        <x:v>65.9</x:v>
      </x:c>
      <x:c r="C146" s="23" t="n">
        <x:f>SUM(Results!G1590:G1592)</x:f>
        <x:v>71.3</x:v>
      </x:c>
      <x:c r="D146" s="23" t="n">
        <x:f>SUM(Results!G1593:G1596)</x:f>
        <x:v>62.1</x:v>
      </x:c>
      <x:c r="E146" s="23" t="n">
        <x:f>AVERAGE(B146:D146)</x:f>
        <x:v>66.43333333333332</x:v>
      </x:c>
      <x:c r="F146" s="25" t="str">
        <x:f>IF(E146&gt;=80,"HD/D range",IF(E146&gt;=70,"D range",IF(E146&gt;=60,"C range",IF(E146&gt;=50,"P range","At risk"))))</x:f>
        <x:v>C range</x:v>
      </x:c>
    </x:row>
    <x:row r="147" ht="15" hidden="0" customHeight="1">
      <x:c r="A147" s="22" t="str">
        <x:v>STU0146</x:v>
      </x:c>
      <x:c r="B147" s="23" t="n">
        <x:f>SUM(Results!G1597:G1600)</x:f>
        <x:v>89.9</x:v>
      </x:c>
      <x:c r="C147" s="23" t="n">
        <x:f>SUM(Results!G1601:G1603)</x:f>
        <x:v>94.1</x:v>
      </x:c>
      <x:c r="D147" s="23" t="n">
        <x:f>SUM(Results!G1604:G1607)</x:f>
        <x:v>92.69999999999999</x:v>
      </x:c>
      <x:c r="E147" s="23" t="n">
        <x:f>AVERAGE(B147:D147)</x:f>
        <x:v>92.23333333333333</x:v>
      </x:c>
      <x:c r="F147" s="25" t="str">
        <x:f>IF(E147&gt;=80,"HD/D range",IF(E147&gt;=70,"D range",IF(E147&gt;=60,"C range",IF(E147&gt;=50,"P range","At risk"))))</x:f>
        <x:v>HD/D range</x:v>
      </x:c>
    </x:row>
    <x:row r="148" ht="15" hidden="0" customHeight="1">
      <x:c r="A148" s="22" t="str">
        <x:v>STU0147</x:v>
      </x:c>
      <x:c r="B148" s="23" t="n">
        <x:f>SUM(Results!G1608:G1611)</x:f>
        <x:v>84.15</x:v>
      </x:c>
      <x:c r="C148" s="23" t="n">
        <x:f>SUM(Results!G1612:G1614)</x:f>
        <x:v>86.9</x:v>
      </x:c>
      <x:c r="D148" s="23" t="n">
        <x:f>SUM(Results!G1615:G1618)</x:f>
        <x:v>83.64999999999999</x:v>
      </x:c>
      <x:c r="E148" s="23" t="n">
        <x:f>AVERAGE(B148:D148)</x:f>
        <x:v>84.89999999999999</x:v>
      </x:c>
      <x:c r="F148" s="25" t="str">
        <x:f>IF(E148&gt;=80,"HD/D range",IF(E148&gt;=70,"D range",IF(E148&gt;=60,"C range",IF(E148&gt;=50,"P range","At risk"))))</x:f>
        <x:v>HD/D range</x:v>
      </x:c>
    </x:row>
    <x:row r="149" ht="15" hidden="0" customHeight="1">
      <x:c r="A149" s="22" t="str">
        <x:v>STU0148</x:v>
      </x:c>
      <x:c r="B149" s="23" t="n">
        <x:f>SUM(Results!G1619:G1622)</x:f>
        <x:v>77.1</x:v>
      </x:c>
      <x:c r="C149" s="23" t="n">
        <x:f>SUM(Results!G1623:G1625)</x:f>
        <x:v>71.8</x:v>
      </x:c>
      <x:c r="D149" s="23" t="n">
        <x:f>SUM(Results!G1626:G1629)</x:f>
        <x:v>75.6</x:v>
      </x:c>
      <x:c r="E149" s="23" t="n">
        <x:f>AVERAGE(B149:D149)</x:f>
        <x:v>74.83333333333333</x:v>
      </x:c>
      <x:c r="F149" s="25" t="str">
        <x:f>IF(E149&gt;=80,"HD/D range",IF(E149&gt;=70,"D range",IF(E149&gt;=60,"C range",IF(E149&gt;=50,"P range","At risk"))))</x:f>
        <x:v>D range</x:v>
      </x:c>
    </x:row>
    <x:row r="150" ht="15" hidden="0" customHeight="1">
      <x:c r="A150" s="22" t="str">
        <x:v>STU0149</x:v>
      </x:c>
      <x:c r="B150" s="23" t="n">
        <x:f>SUM(Results!G1630:G1633)</x:f>
        <x:v>64</x:v>
      </x:c>
      <x:c r="C150" s="23" t="n">
        <x:f>SUM(Results!G1634:G1636)</x:f>
        <x:v>70.7</x:v>
      </x:c>
      <x:c r="D150" s="23" t="n">
        <x:f>SUM(Results!G1637:G1640)</x:f>
        <x:v>66.35</x:v>
      </x:c>
      <x:c r="E150" s="23" t="n">
        <x:f>AVERAGE(B150:D150)</x:f>
        <x:v>67.01666666666667</x:v>
      </x:c>
      <x:c r="F150" s="25" t="str">
        <x:f>IF(E150&gt;=80,"HD/D range",IF(E150&gt;=70,"D range",IF(E150&gt;=60,"C range",IF(E150&gt;=50,"P range","At risk"))))</x:f>
        <x:v>C range</x:v>
      </x:c>
    </x:row>
    <x:row r="151" ht="15" hidden="0" customHeight="1">
      <x:c r="A151" s="26" t="str">
        <x:v>STU0150</x:v>
      </x:c>
      <x:c r="B151" s="27" t="n">
        <x:f>SUM(Results!G1641:G1644)</x:f>
        <x:v>85.95</x:v>
      </x:c>
      <x:c r="C151" s="27" t="n">
        <x:f>SUM(Results!G1645:G1647)</x:f>
        <x:v>86</x:v>
      </x:c>
      <x:c r="D151" s="27" t="n">
        <x:f>SUM(Results!G1648:G1651)</x:f>
        <x:v>85.35</x:v>
      </x:c>
      <x:c r="E151" s="27" t="n">
        <x:f>AVERAGE(B151:D151)</x:f>
        <x:v>85.76666666666665</x:v>
      </x:c>
      <x:c r="F151" s="29" t="str">
        <x:f>IF(E151&gt;=80,"HD/D range",IF(E151&gt;=70,"D range",IF(E151&gt;=60,"C range",IF(E151&gt;=50,"P range","At risk"))))</x:f>
        <x:v>HD/D range</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52" hidden="0" customWidth="1"/>
    <x:col min="3" max="3" width="10" hidden="0" customWidth="1"/>
    <x:col min="4" max="4" width="16" hidden="0" customWidth="1"/>
    <x:col min="5" max="5" width="16" hidden="0" customWidth="1"/>
    <x:col min="6" max="6" width="16" hidden="0" customWidth="1"/>
    <x:col min="7" max="7" width="16" hidden="0" customWidth="1"/>
    <x:col min="8" max="8" width="90" hidden="0" customWidth="1"/>
  </x:cols>
  <x:sheetData>
    <x:row r="1" ht="15" hidden="0" customHeight="1">
      <x:c r="A1" s="7" t="str">
        <x:v>Subject Code</x:v>
      </x:c>
      <x:c r="B1" s="7" t="str">
        <x:v>Assessment Type</x:v>
      </x:c>
      <x:c r="C1" s="66" t="str">
        <x:v>Weight</x:v>
      </x:c>
      <x:c r="D1" s="7" t="str">
        <x:v>Contribution</x:v>
      </x:c>
      <x:c r="E1" s="7" t="str">
        <x:v>Early Assessment</x:v>
      </x:c>
      <x:c r="F1" s="7" t="str">
        <x:v>Hurdle</x:v>
      </x:c>
      <x:c r="G1" s="7" t="str">
        <x:v>SILOs</x:v>
      </x:c>
      <x:c r="H1" s="7" t="str">
        <x:v>SILO Theme Summary</x:v>
      </x:c>
    </x:row>
    <x:row r="2" ht="15" hidden="0" customHeight="1">
      <x:c r="A2" s="2" t="str">
        <x:v>CSE1OOF</x:v>
      </x:c>
      <x:c r="B2" s="2" t="str">
        <x:v>CSE1OOF - Test</x:v>
      </x:c>
      <x:c r="C2" s="2" t="n">
        <x:v>0.15</x:v>
      </x:c>
      <x:c r="D2" s="2" t="str">
        <x:v>Individual</x:v>
      </x:c>
      <x:c r="E2" s="2" t="str">
        <x:v>Yes</x:v>
      </x:c>
      <x:c r="F2" s="2" t="str">
        <x:v>No</x:v>
      </x:c>
      <x:c r="G2" s="2" t="str">
        <x:v>SILO1, SILO2</x:v>
      </x:c>
      <x:c r="H2" s="12" t="str">
        <x:v>SILO1: analysis/design/implementation compared with object-oriented modelling using objects that combine data structure and behaviour; SILO2: abstract data types and encapsulation to localise and minimise change</x:v>
      </x:c>
    </x:row>
    <x:row r="3" ht="15" hidden="0" customHeight="1">
      <x:c r="A3" s="2" t="str">
        <x:v>CSE1OOF</x:v>
      </x:c>
      <x:c r="B3" s="2" t="str">
        <x:v>CSE1OOF - Practical demonstration</x:v>
      </x:c>
      <x:c r="C3" s="2" t="n">
        <x:v>0.2</x:v>
      </x:c>
      <x:c r="D3" s="2" t="str">
        <x:v>Individual</x:v>
      </x:c>
      <x:c r="E3" s="2" t="str">
        <x:v>No</x:v>
      </x:c>
      <x:c r="F3" s="2" t="str">
        <x:v>No</x:v>
      </x:c>
      <x:c r="G3" s="2" t="str">
        <x:v>SILO2, SILO3, SILO4</x:v>
      </x:c>
      <x:c r="H3" s="12" t="str">
        <x:v>SILO2: abstract data types and encapsulation to localise and minimise change; SILO3: code sharing and reuse through object-oriented techniques to reduce development time; SILO4: object-oriented design and implementation of computer programs for real-life problems</x:v>
      </x:c>
    </x:row>
    <x:row r="4" ht="15" hidden="0" customHeight="1">
      <x:c r="A4" s="2" t="str">
        <x:v>CSE1OOF</x:v>
      </x:c>
      <x:c r="B4" s="2" t="str">
        <x:v>CSE1OOF - Assignment</x:v>
      </x:c>
      <x:c r="C4" s="2" t="n">
        <x:v>0.25</x:v>
      </x:c>
      <x:c r="D4" s="2" t="str">
        <x:v>Individual</x:v>
      </x:c>
      <x:c r="E4" s="2" t="str">
        <x:v>No</x:v>
      </x:c>
      <x:c r="F4" s="2" t="str">
        <x:v>No</x:v>
      </x:c>
      <x:c r="G4" s="2" t="str">
        <x:v>SILO2, SILO3, SILO4</x:v>
      </x:c>
      <x:c r="H4" s="12" t="str">
        <x:v>SILO2: abstract data types and encapsulation to localise and minimise change; SILO3: code sharing and reuse through object-oriented techniques to reduce development time; SILO4: object-oriented design and implementation of computer programs for real-life problems</x:v>
      </x:c>
    </x:row>
    <x:row r="5" ht="15" hidden="0" customHeight="1">
      <x:c r="A5" s="2" t="str">
        <x:v>CSE1OOF</x:v>
      </x:c>
      <x:c r="B5" s="2" t="str">
        <x:v>CSE1OOF - Central examination</x:v>
      </x:c>
      <x:c r="C5" s="2" t="n">
        <x:v>0.4</x:v>
      </x:c>
      <x:c r="D5" s="2" t="str">
        <x:v>Individual</x:v>
      </x:c>
      <x:c r="E5" s="2" t="str">
        <x:v>No</x:v>
      </x:c>
      <x:c r="F5" s="2" t="str">
        <x:v>No</x:v>
      </x:c>
      <x:c r="G5" s="2" t="str">
        <x:v>SILO2, SILO4, SILO3, SILO1</x:v>
      </x:c>
      <x:c r="H5" s="12" t="str">
        <x:v>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x:v>
      </x:c>
    </x:row>
    <x:row r="6" ht="15" hidden="0" customHeight="1">
      <x:c r="A6" s="2" t="str">
        <x:v>CSE2ALG</x:v>
      </x:c>
      <x:c r="B6" s="2" t="str">
        <x:v>CSE2ALG - Test</x:v>
      </x:c>
      <x:c r="C6" s="2" t="n">
        <x:v>0.2</x:v>
      </x:c>
      <x:c r="D6" s="2" t="str">
        <x:v>Individual</x:v>
      </x:c>
      <x:c r="E6" s="2" t="str">
        <x:v>Yes</x:v>
      </x:c>
      <x:c r="F6" s="2" t="str">
        <x:v>No</x:v>
      </x:c>
      <x:c r="G6" s="2" t="str">
        <x:v>SILO1, SILO2, SILO3</x:v>
      </x:c>
      <x:c r="H6" s="12" t="str">
        <x:v>SILO1: overall objectives of Algorithms and Data Structures; SILO2: identifying data structures and searching and sorting algorithms in computing contexts; SILO3: implementing data structures and searching and sorting algorithms in Java</x:v>
      </x:c>
    </x:row>
    <x:row r="7" ht="15" hidden="0" customHeight="1">
      <x:c r="A7" s="2" t="str">
        <x:v>CSE2ALG</x:v>
      </x:c>
      <x:c r="B7" s="2" t="str">
        <x:v>CSE2ALG - Assignment</x:v>
      </x:c>
      <x:c r="C7" s="2" t="n">
        <x:v>0.3</x:v>
      </x:c>
      <x:c r="D7" s="2" t="str">
        <x:v>Individual</x:v>
      </x:c>
      <x:c r="E7" s="2" t="str">
        <x:v>No</x:v>
      </x:c>
      <x:c r="F7" s="2" t="str">
        <x:v>No</x:v>
      </x:c>
      <x:c r="G7" s="2" t="str">
        <x:v>SILO2, SILO3, SILO4, SILO5</x:v>
      </x:c>
      <x:c r="H7" s="12" t="str">
        <x:v>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x:v>
      </x:c>
    </x:row>
    <x:row r="8" ht="15" hidden="0" customHeight="1">
      <x:c r="A8" s="2" t="str">
        <x:v>CSE2ALG</x:v>
      </x:c>
      <x:c r="B8" s="2" t="str">
        <x:v>CSE2ALG - Central examination</x:v>
      </x:c>
      <x:c r="C8" s="2" t="n">
        <x:v>0.5</x:v>
      </x:c>
      <x:c r="D8" s="2" t="str">
        <x:v>Individual</x:v>
      </x:c>
      <x:c r="E8" s="2" t="str">
        <x:v>No</x:v>
      </x:c>
      <x:c r="F8" s="2" t="str">
        <x:v>No</x:v>
      </x:c>
      <x:c r="G8" s="2" t="str">
        <x:v>SILO1, SILO2, SILO3, SILO5</x:v>
      </x:c>
      <x:c r="H8" s="12" t="str">
        <x:v>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x:v>
      </x:c>
    </x:row>
    <x:row r="9" ht="15" hidden="0" customHeight="1">
      <x:c r="A9" s="2" t="str">
        <x:v>CSE3CAP</x:v>
      </x:c>
      <x:c r="B9" s="2" t="str">
        <x:v>CSE3CAP - Oral presentation: Project Milestone Presentation</x:v>
      </x:c>
      <x:c r="C9" s="2" t="n">
        <x:v>0.1</x:v>
      </x:c>
      <x:c r="D9" s="2" t="str">
        <x:v>Group</x:v>
      </x:c>
      <x:c r="E9" s="2" t="str">
        <x:v>Yes</x:v>
      </x:c>
      <x:c r="F9" s="2" t="str">
        <x:v>No</x:v>
      </x:c>
      <x:c r="G9" s="2" t="str">
        <x:v>SILO3</x:v>
      </x:c>
      <x:c r="H9" s="12" t="str">
        <x:v>SILO3: reporting project outcomes to technical and non-technical audiences and reflecting on feedback</x:v>
      </x:c>
    </x:row>
    <x:row r="10" ht="15" hidden="0" customHeight="1">
      <x:c r="A10" s="2" t="str">
        <x:v>CSE3CAP</x:v>
      </x:c>
      <x:c r="B10" s="2" t="str">
        <x:v>CSE3CAP - Oral presentation: Final Project Presentation</x:v>
      </x:c>
      <x:c r="C10" s="2" t="n">
        <x:v>0.2</x:v>
      </x:c>
      <x:c r="D10" s="2" t="str">
        <x:v>Group</x:v>
      </x:c>
      <x:c r="E10" s="2" t="str">
        <x:v>No</x:v>
      </x:c>
      <x:c r="F10" s="2" t="str">
        <x:v>No</x:v>
      </x:c>
      <x:c r="G10" s="2" t="str">
        <x:v>SILO3</x:v>
      </x:c>
      <x:c r="H10" s="12" t="str">
        <x:v>SILO3: reporting project outcomes to technical and non-technical audiences and reflecting on feedback</x:v>
      </x:c>
    </x:row>
    <x:row r="11" ht="15" hidden="0" customHeight="1">
      <x:c r="A11" s="2" t="str">
        <x:v>CSE3CAP</x:v>
      </x:c>
      <x:c r="B11" s="2" t="str">
        <x:v>CSE3CAP - Assignment: Final written Project Report</x:v>
      </x:c>
      <x:c r="C11" s="2" t="n">
        <x:v>0.35</x:v>
      </x:c>
      <x:c r="D11" s="2" t="str">
        <x:v>Combined</x:v>
      </x:c>
      <x:c r="E11" s="2" t="str">
        <x:v>No</x:v>
      </x:c>
      <x:c r="F11" s="2" t="str">
        <x:v>No</x:v>
      </x:c>
      <x:c r="G11" s="2" t="str">
        <x:v>SILO2, SILO4</x:v>
      </x:c>
      <x:c r="H11" s="12" t="str">
        <x:v>SILO2: industry standard technical solutions in software or cybersecurity practice; SILO4: professional system documentation and advanced technical reporting to industry standards</x:v>
      </x:c>
    </x:row>
    <x:row r="12" ht="15" hidden="0" customHeight="1">
      <x:c r="A12" s="2" t="str">
        <x:v>CSE3CAP</x:v>
      </x:c>
      <x:c r="B12" s="2" t="str">
        <x:v>CSE3CAP - Assignment: Sprint Project management reports</x:v>
      </x:c>
      <x:c r="C12" s="2" t="n">
        <x:v>0.35</x:v>
      </x:c>
      <x:c r="D12" s="2" t="str">
        <x:v>Individual</x:v>
      </x:c>
      <x:c r="E12" s="2" t="str">
        <x:v>No</x:v>
      </x:c>
      <x:c r="F12" s="2" t="str">
        <x:v>No</x:v>
      </x:c>
      <x:c r="G12" s="2" t="str">
        <x:v>SILO1, SILO2</x:v>
      </x:c>
      <x:c r="H12" s="12" t="str">
        <x:v>SILO1: advanced project management during substantive development implementation; SILO2: industry standard technical solutions in software or cybersecurity practice</x:v>
      </x:c>
    </x:row>
  </x:sheetData>
  <x:pageMargins left="0.7" right="0.7" top="0.75" bottom="0.75" header="0.3" footer="0.3"/>
</x:worksheet>
</file>